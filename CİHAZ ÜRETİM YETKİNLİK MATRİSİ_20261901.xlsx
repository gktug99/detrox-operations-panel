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\\dtrxfrs\folderredirection$\goktug.ergin\Desktop\Göktuğ Ergin\Yetkinlik Matrisi Hazırlığı\"/>
    </mc:Choice>
  </mc:AlternateContent>
  <xr:revisionPtr revIDLastSave="0" documentId="13_ncr:1_{20FF25AD-44C9-4306-94EE-4ED02CF54BA0}" xr6:coauthVersionLast="47" xr6:coauthVersionMax="47" xr10:uidLastSave="{00000000-0000-0000-0000-000000000000}"/>
  <bookViews>
    <workbookView xWindow="-120" yWindow="-120" windowWidth="29040" windowHeight="15720" tabRatio="497" xr2:uid="{00000000-000D-0000-FFFF-FFFF00000000}"/>
  </bookViews>
  <sheets>
    <sheet name="Grafik" sheetId="6" r:id="rId1"/>
    <sheet name="Grafik Verileri" sheetId="7" state="hidden" r:id="rId2"/>
    <sheet name="Tüm Operasyonlar" sheetId="1" r:id="rId3"/>
    <sheet name="Değer Matrisleri" sheetId="2" r:id="rId4"/>
    <sheet name="Menü Seçenekleri" sheetId="5" r:id="rId5"/>
    <sheet name="Pivot" sheetId="4" state="hidden" r:id="rId6"/>
    <sheet name="Personel Görev Dağılım" sheetId="8" r:id="rId7"/>
    <sheet name="Niş Bölünmeler" sheetId="3" state="hidden" r:id="rId8"/>
  </sheets>
  <definedNames>
    <definedName name="_xlnm._FilterDatabase" localSheetId="2" hidden="1">'Tüm Operasyonlar'!$A$2:$AG$165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  <c r="B16" i="7" s="1"/>
  <c r="C164" i="7"/>
  <c r="N7" i="6" s="1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N2" i="6"/>
  <c r="K2" i="6"/>
  <c r="AG165" i="1"/>
  <c r="B48" i="7" l="1"/>
  <c r="B43" i="7"/>
  <c r="B74" i="7"/>
  <c r="B107" i="7"/>
  <c r="B130" i="7"/>
  <c r="B138" i="7"/>
  <c r="B10" i="7"/>
  <c r="B51" i="7"/>
  <c r="B67" i="7"/>
  <c r="B99" i="7"/>
  <c r="B123" i="7"/>
  <c r="B147" i="7"/>
  <c r="B163" i="7"/>
  <c r="B3" i="7"/>
  <c r="B20" i="7"/>
  <c r="B28" i="7"/>
  <c r="B36" i="7"/>
  <c r="B45" i="7"/>
  <c r="B52" i="7"/>
  <c r="B60" i="7"/>
  <c r="B68" i="7"/>
  <c r="B76" i="7"/>
  <c r="B84" i="7"/>
  <c r="B92" i="7"/>
  <c r="B100" i="7"/>
  <c r="B108" i="7"/>
  <c r="B116" i="7"/>
  <c r="B124" i="7"/>
  <c r="B132" i="7"/>
  <c r="B140" i="7"/>
  <c r="B148" i="7"/>
  <c r="B156" i="7"/>
  <c r="B164" i="7"/>
  <c r="K7" i="6" s="1"/>
  <c r="B18" i="7"/>
  <c r="B40" i="7"/>
  <c r="B34" i="7"/>
  <c r="B66" i="7"/>
  <c r="B98" i="7"/>
  <c r="B154" i="7"/>
  <c r="B2" i="7"/>
  <c r="B35" i="7"/>
  <c r="B59" i="7"/>
  <c r="B91" i="7"/>
  <c r="B115" i="7"/>
  <c r="B155" i="7"/>
  <c r="B29" i="7"/>
  <c r="B37" i="7"/>
  <c r="B53" i="7"/>
  <c r="B61" i="7"/>
  <c r="B69" i="7"/>
  <c r="B77" i="7"/>
  <c r="B85" i="7"/>
  <c r="B93" i="7"/>
  <c r="B101" i="7"/>
  <c r="B109" i="7"/>
  <c r="B117" i="7"/>
  <c r="B125" i="7"/>
  <c r="B133" i="7"/>
  <c r="B141" i="7"/>
  <c r="B149" i="7"/>
  <c r="B157" i="7"/>
  <c r="B11" i="7"/>
  <c r="B19" i="7"/>
  <c r="B32" i="7"/>
  <c r="B9" i="7"/>
  <c r="B50" i="7"/>
  <c r="B82" i="7"/>
  <c r="B122" i="7"/>
  <c r="B162" i="7"/>
  <c r="B44" i="7"/>
  <c r="B83" i="7"/>
  <c r="B103" i="7"/>
  <c r="B139" i="7"/>
  <c r="B17" i="7"/>
  <c r="B4" i="7"/>
  <c r="B21" i="7"/>
  <c r="B42" i="7"/>
  <c r="B5" i="7"/>
  <c r="B22" i="7"/>
  <c r="B30" i="7"/>
  <c r="B38" i="7"/>
  <c r="B46" i="7"/>
  <c r="B54" i="7"/>
  <c r="B62" i="7"/>
  <c r="B70" i="7"/>
  <c r="B78" i="7"/>
  <c r="B86" i="7"/>
  <c r="B94" i="7"/>
  <c r="B102" i="7"/>
  <c r="B110" i="7"/>
  <c r="B118" i="7"/>
  <c r="B126" i="7"/>
  <c r="B134" i="7"/>
  <c r="B142" i="7"/>
  <c r="B150" i="7"/>
  <c r="B158" i="7"/>
  <c r="B12" i="7"/>
  <c r="B7" i="7"/>
  <c r="B26" i="7"/>
  <c r="B58" i="7"/>
  <c r="B90" i="7"/>
  <c r="B114" i="7"/>
  <c r="B146" i="7"/>
  <c r="B27" i="7"/>
  <c r="B75" i="7"/>
  <c r="B131" i="7"/>
  <c r="B6" i="7"/>
  <c r="B23" i="7"/>
  <c r="B31" i="7"/>
  <c r="B39" i="7"/>
  <c r="B47" i="7"/>
  <c r="B55" i="7"/>
  <c r="B63" i="7"/>
  <c r="B71" i="7"/>
  <c r="B79" i="7"/>
  <c r="B87" i="7"/>
  <c r="B95" i="7"/>
  <c r="B104" i="7"/>
  <c r="B111" i="7"/>
  <c r="B119" i="7"/>
  <c r="B127" i="7"/>
  <c r="B135" i="7"/>
  <c r="B143" i="7"/>
  <c r="B151" i="7"/>
  <c r="B159" i="7"/>
  <c r="B13" i="7"/>
  <c r="B14" i="7"/>
  <c r="B24" i="7"/>
  <c r="B56" i="7"/>
  <c r="B64" i="7"/>
  <c r="B72" i="7"/>
  <c r="B80" i="7"/>
  <c r="B88" i="7"/>
  <c r="B96" i="7"/>
  <c r="B105" i="7"/>
  <c r="B112" i="7"/>
  <c r="B120" i="7"/>
  <c r="B128" i="7"/>
  <c r="B136" i="7"/>
  <c r="B144" i="7"/>
  <c r="B152" i="7"/>
  <c r="B160" i="7"/>
  <c r="B8" i="7"/>
  <c r="B25" i="7"/>
  <c r="B33" i="7"/>
  <c r="B41" i="7"/>
  <c r="B49" i="7"/>
  <c r="B57" i="7"/>
  <c r="B65" i="7"/>
  <c r="B73" i="7"/>
  <c r="B81" i="7"/>
  <c r="B89" i="7"/>
  <c r="B97" i="7"/>
  <c r="B106" i="7"/>
  <c r="B113" i="7"/>
  <c r="B121" i="7"/>
  <c r="B129" i="7"/>
  <c r="B137" i="7"/>
  <c r="B145" i="7"/>
  <c r="B153" i="7"/>
  <c r="B161" i="7"/>
  <c r="B15" i="7"/>
  <c r="Q7" i="6"/>
  <c r="Y165" i="1"/>
  <c r="W165" i="1"/>
  <c r="AF165" i="1"/>
  <c r="AD165" i="1"/>
  <c r="AB165" i="1"/>
  <c r="Z165" i="1"/>
  <c r="X165" i="1"/>
  <c r="V165" i="1"/>
  <c r="P11" i="4"/>
  <c r="P11" i="4" a="1"/>
  <c r="AE165" i="1"/>
  <c r="AC165" i="1"/>
  <c r="AA165" i="1"/>
  <c r="U165" i="1"/>
  <c r="T165" i="1"/>
  <c r="S165" i="1"/>
  <c r="Q165" i="1"/>
  <c r="O165" i="1"/>
  <c r="M165" i="1"/>
  <c r="K165" i="1"/>
  <c r="I165" i="1"/>
  <c r="G1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<sst xmlns="http://schemas.openxmlformats.org/spreadsheetml/2006/main" count="3677" uniqueCount="435">
  <si>
    <t>M-Y-AB.004</t>
  </si>
  <si>
    <t>M-Y-DF.001</t>
  </si>
  <si>
    <t>M-Y-DK.001</t>
  </si>
  <si>
    <t>M-Y-DK.003</t>
  </si>
  <si>
    <t>M-Y-DK.004</t>
  </si>
  <si>
    <t>M-Y-DP.001</t>
  </si>
  <si>
    <t>M-Y-DP.002</t>
  </si>
  <si>
    <t>M-Y-DP.003</t>
  </si>
  <si>
    <t>M-Y-DP.005</t>
  </si>
  <si>
    <t>M-Y-DP.007</t>
  </si>
  <si>
    <t>M-Y-DP.008</t>
  </si>
  <si>
    <t>M-Y-DP.019</t>
  </si>
  <si>
    <t>M-Y-DZ.001</t>
  </si>
  <si>
    <t>M-Y-EV.007</t>
  </si>
  <si>
    <t>M-Y-KB.013</t>
  </si>
  <si>
    <t>M-Y-KP.004</t>
  </si>
  <si>
    <t>M-Y-KP.006</t>
  </si>
  <si>
    <t>M-Y-KP.007</t>
  </si>
  <si>
    <t>M-Y-KP.009</t>
  </si>
  <si>
    <t>M-Y-KP.010</t>
  </si>
  <si>
    <t>M-Y-KP.011</t>
  </si>
  <si>
    <t>M-Y-KT.002</t>
  </si>
  <si>
    <t>M-Y-SG.001</t>
  </si>
  <si>
    <t>M-Y-UV.003</t>
  </si>
  <si>
    <t>VOLKAN KAVLAK</t>
  </si>
  <si>
    <t>ÖZER KOÇ</t>
  </si>
  <si>
    <t>SEMRA ULTAV</t>
  </si>
  <si>
    <t>EVYE İÇİ PAKET-ÇİFT SCOP</t>
  </si>
  <si>
    <t>DOLUM KAPAK GRUBU-ALKOL</t>
  </si>
  <si>
    <t>SELENOİD GRUBU-ÇİFT SKOP ÇİFT TANK</t>
  </si>
  <si>
    <t>DIŞ FİLTRE GRUBU</t>
  </si>
  <si>
    <t>DOLUM KAPAK GRUBU-KONSANTRE</t>
  </si>
  <si>
    <t>5 L KONS. DEZ. DEPO GRUBU</t>
  </si>
  <si>
    <t>5 L ENZİM DEPO GRUBU</t>
  </si>
  <si>
    <t>5 L ALKOL DEPO GRUBU</t>
  </si>
  <si>
    <t>15 L ATIK DEPO GRUBU</t>
  </si>
  <si>
    <t>15 L DEZENFEKTAN DEPO GRUBU</t>
  </si>
  <si>
    <t>15 L TEMİZ SU DEPO GRUBU</t>
  </si>
  <si>
    <t>15 L PASLANMAZ DEPO GRUBU</t>
  </si>
  <si>
    <t>KABLO SETİ-İLETİŞİM-USB KABLO GRUBU</t>
  </si>
  <si>
    <t>15 L DEZENFEKTAN DEPO KAPAK GRUBU</t>
  </si>
  <si>
    <t>15 L ATIK DEPO KAPAK GRUBU</t>
  </si>
  <si>
    <t>15 L TEMİZ SU DEPO+UV KAPAK GRUBU</t>
  </si>
  <si>
    <t>5 L DEPO KAPAK GRUBU</t>
  </si>
  <si>
    <t>15 L PASLANMAZ DEPO KAPAK GRUBU</t>
  </si>
  <si>
    <t>MANOMETRE GRUBU</t>
  </si>
  <si>
    <t>SU GİRİŞ VENTİLİ GRUBU</t>
  </si>
  <si>
    <t>UV LAMBA KÜP DUY GRUBU</t>
  </si>
  <si>
    <t>DSC-1201</t>
  </si>
  <si>
    <t>AER-3</t>
  </si>
  <si>
    <t>AER-1</t>
  </si>
  <si>
    <t>M-DA-Y-KS.003</t>
  </si>
  <si>
    <t>BAŞLIK GRUBU</t>
  </si>
  <si>
    <t>M-DS-Y-HV.001</t>
  </si>
  <si>
    <t>5 L PASLANMAZ HAVA TANK GRUBU</t>
  </si>
  <si>
    <t>M-DS-Y-KM.001</t>
  </si>
  <si>
    <t>M-DS-Y-PN.001</t>
  </si>
  <si>
    <t>REGÜLATÖR GRUBU</t>
  </si>
  <si>
    <t>M-Y-PN.002</t>
  </si>
  <si>
    <t>KANAL HAVA SELENOİD GRUBU</t>
  </si>
  <si>
    <t>M-Y-PN.003</t>
  </si>
  <si>
    <t>KANAL HAVA REGÜLATÖR GRUBU</t>
  </si>
  <si>
    <t>M-Y-PN.004</t>
  </si>
  <si>
    <t>OTO KAÇAK HAVA REGÜLATÖR GRUBU</t>
  </si>
  <si>
    <t>M-Y-PN.005</t>
  </si>
  <si>
    <t>KAPAK VALF GRUBU</t>
  </si>
  <si>
    <t>M-Y-KP.015</t>
  </si>
  <si>
    <t>TAŞMA SENSÖR GRUBU</t>
  </si>
  <si>
    <t>M-Y-HV.001</t>
  </si>
  <si>
    <t>M-Y-PN.001</t>
  </si>
  <si>
    <t>M-Y-DP.021</t>
  </si>
  <si>
    <t>2 L ATIK TANKI GRUBU</t>
  </si>
  <si>
    <t>M-Y-KP.013</t>
  </si>
  <si>
    <t>2 L ATIK TANKI KAPAK GRUBU</t>
  </si>
  <si>
    <t>M-Y-DP.022</t>
  </si>
  <si>
    <t>ATIK KOLLEKTÖR GRUBU</t>
  </si>
  <si>
    <t>M-Y-SL.003</t>
  </si>
  <si>
    <t>M-Y-KP.012</t>
  </si>
  <si>
    <t>M-Y-DP.010</t>
  </si>
  <si>
    <t>M-Y-UV.001</t>
  </si>
  <si>
    <t>UV GRUBU</t>
  </si>
  <si>
    <t>M-Y-DF.003</t>
  </si>
  <si>
    <t>HOUSING GRUBU</t>
  </si>
  <si>
    <t>M-Y-DZ.002</t>
  </si>
  <si>
    <t>DOZAJ POMPA GRUBU-ENZİM ALKOL</t>
  </si>
  <si>
    <t>M-Y-DZ.003</t>
  </si>
  <si>
    <t>DOZAJ POMPA GRUBU-KONSANTRE</t>
  </si>
  <si>
    <t>M-Y-EV.009</t>
  </si>
  <si>
    <t>GRAFİK EKRAN EVYE GRUBU-ÇİFT SKOP</t>
  </si>
  <si>
    <t>M-Y-KCK.002</t>
  </si>
  <si>
    <t>OTO KAÇAK TEST GRUBU-ÇİFT SKOP</t>
  </si>
  <si>
    <t>M-Y-KP.002</t>
  </si>
  <si>
    <t>ENZİM-ALKOL BİDON KAPAK GRUBU</t>
  </si>
  <si>
    <t>M-Y-KP.014</t>
  </si>
  <si>
    <t>ÜST KAPAK GRUBU</t>
  </si>
  <si>
    <t>M-Y-MT.001</t>
  </si>
  <si>
    <t>SİRKÜLASYON MOTOR GRUBU</t>
  </si>
  <si>
    <t>M-Y-RK.001</t>
  </si>
  <si>
    <t>M-Y-RK.002</t>
  </si>
  <si>
    <t>ATIK ÇEK-VALFİ</t>
  </si>
  <si>
    <t>M-Y-RK.003</t>
  </si>
  <si>
    <t>KONSANTRE ÇEK-VALFİ</t>
  </si>
  <si>
    <t>M-Y-SL.002</t>
  </si>
  <si>
    <t>M-Y-DC.001</t>
  </si>
  <si>
    <t>CPC ERKEK 90°</t>
  </si>
  <si>
    <t>M-Y-DG.001</t>
  </si>
  <si>
    <t>CPC DAĞITICI-ÇİFT SKOP GRUBU</t>
  </si>
  <si>
    <t>M-Y-DG.002</t>
  </si>
  <si>
    <t>NOZZLE DAĞITICI GRUBU</t>
  </si>
  <si>
    <t>DOLUM KAPAK GRUBU-ENZIMATIK</t>
  </si>
  <si>
    <t>DOZAJ POMPA GRUBU 7 L</t>
  </si>
  <si>
    <t>M-Y-ET.001</t>
  </si>
  <si>
    <t>70X100 TANITIM PLAKASI</t>
  </si>
  <si>
    <t>M-Y-EV.001</t>
  </si>
  <si>
    <t>GİRDAP ÖNLEYİCİ</t>
  </si>
  <si>
    <t>EVYE-ÇİFT SKOP, ÇİFT TANK GRUBU</t>
  </si>
  <si>
    <t>M-Y-FG.001</t>
  </si>
  <si>
    <t>SELENOİD TEL FİLTRE GRUBU</t>
  </si>
  <si>
    <t>M-Y-GS.001</t>
  </si>
  <si>
    <t>EVYE GİDER GRUBU</t>
  </si>
  <si>
    <t>M-Y-KM.007</t>
  </si>
  <si>
    <t xml:space="preserve">OLF 100AF KOMPRESÖR GRUBU </t>
  </si>
  <si>
    <t>M-Y-KM.012</t>
  </si>
  <si>
    <t>AER 1 KOMPRESÖR SELENOİD VALF GRUBU</t>
  </si>
  <si>
    <t>KAPAK GRUBU KİLİTSİZ MODEL</t>
  </si>
  <si>
    <t>M-Y-KP.017</t>
  </si>
  <si>
    <t>AER 1 ÜST KAPAK ARKA MENTEŞE GRUBU</t>
  </si>
  <si>
    <t>M-Y-KT.003</t>
  </si>
  <si>
    <t>OIL-LESS KAÇAK TEST MOTOR GRUBU</t>
  </si>
  <si>
    <t>M-Y-LS.001</t>
  </si>
  <si>
    <t>ALT SENSÖR GRUBU</t>
  </si>
  <si>
    <t>M-Y-MG.001</t>
  </si>
  <si>
    <t>ATIK MOTOR GRUBU</t>
  </si>
  <si>
    <t>M-Y-MG.002</t>
  </si>
  <si>
    <t>DEZENFEKTAN MOTOR GRUBU</t>
  </si>
  <si>
    <t>M-Y-MG.003</t>
  </si>
  <si>
    <t>TEMİZ SU MOTOR GRUBU</t>
  </si>
  <si>
    <t>M-Y-MT.003</t>
  </si>
  <si>
    <t>SİRKÜLASYON POMPASI GRUBU</t>
  </si>
  <si>
    <t>M-Y-OSB.001</t>
  </si>
  <si>
    <t>OSB PAKETLEME</t>
  </si>
  <si>
    <t>M-Y-RG.001</t>
  </si>
  <si>
    <t>ATIK MOTOR ÇIKIŞ REKOR GRUBU</t>
  </si>
  <si>
    <t>M-Y-RG.003</t>
  </si>
  <si>
    <t>5 L ENZİM DEPO REKOR GRUBU</t>
  </si>
  <si>
    <t>M-Y-RG.004</t>
  </si>
  <si>
    <t>5 L ALKOL DEPO REKOR GRUBU</t>
  </si>
  <si>
    <t>M-Y-RG.005</t>
  </si>
  <si>
    <t>5 L KONS. DEZ. DEPO REKOR GRUBU</t>
  </si>
  <si>
    <t>M-Y-RG.006</t>
  </si>
  <si>
    <t>EVYE DEZENFEKTAN DEPO REKOR GRUBU</t>
  </si>
  <si>
    <t>M-Y-RG.007</t>
  </si>
  <si>
    <t>EVYE TEMİZ DEPO REKOR GRUBU</t>
  </si>
  <si>
    <t>M-Y-RK.009</t>
  </si>
  <si>
    <t>OTO KAÇAK CPC GRUBU</t>
  </si>
  <si>
    <t>M-Y-RK.010</t>
  </si>
  <si>
    <t>HAVA ÇEK-VALFİ</t>
  </si>
  <si>
    <t>M-Y-RK.011</t>
  </si>
  <si>
    <t>1/2 DİK ÇEK-VALF</t>
  </si>
  <si>
    <t>M-Y-5S.013</t>
  </si>
  <si>
    <t>M-Y-SR.001</t>
  </si>
  <si>
    <t>AER 1 SİGORTA RAYI 14 CM</t>
  </si>
  <si>
    <t>M-Y-TH.002</t>
  </si>
  <si>
    <t>TAHLİYE VANA GRUBU PASLANMAZ</t>
  </si>
  <si>
    <t>M-Y-TS.003</t>
  </si>
  <si>
    <t>AER 1 SMC VALF GRUBU</t>
  </si>
  <si>
    <t>M-Y-ÜS.001</t>
  </si>
  <si>
    <t>ÜST SENSÖR GRUBU</t>
  </si>
  <si>
    <t>M-Y-AB.005</t>
  </si>
  <si>
    <t>AER 3 EVYE İÇİ PAKET-ÇİFT SKOP</t>
  </si>
  <si>
    <t>M-Y-AS.003</t>
  </si>
  <si>
    <t>TEKLİ AKIŞ SENSÖR GRUBU-ENZİM ALKOL</t>
  </si>
  <si>
    <t>M-Y-AS.004</t>
  </si>
  <si>
    <t>TEKLİ AKIŞ SENSÖR GRUBU-KONSANTRE</t>
  </si>
  <si>
    <t>M-Y-DG.004</t>
  </si>
  <si>
    <t>AER 3 CPC DAĞITICI-ÇİFT SKOP GRUBU</t>
  </si>
  <si>
    <t>M-Y-DG.005</t>
  </si>
  <si>
    <t>AER 3 NOZZLE DAĞITICI GRUBU</t>
  </si>
  <si>
    <t>M-Y-DZ.004</t>
  </si>
  <si>
    <t>DETROWASH AER 3 DOZAJ GRUBU</t>
  </si>
  <si>
    <t>M-Y-EV.032</t>
  </si>
  <si>
    <t>SEPET</t>
  </si>
  <si>
    <t>M-Y-HF.002</t>
  </si>
  <si>
    <t xml:space="preserve">EVYE HAVA FİLTRESİ-ORTA </t>
  </si>
  <si>
    <t>M-Y-KB.018</t>
  </si>
  <si>
    <t>24V GÜÇ KABLOSU GRUBU</t>
  </si>
  <si>
    <t>M-Y-KCK.003</t>
  </si>
  <si>
    <t>BASINÇ TRANSMİTTER GRUBU</t>
  </si>
  <si>
    <t>M-Y-KCK.004</t>
  </si>
  <si>
    <t>OTO KAÇAK 2/2 SELENOİD VALF GRUBU</t>
  </si>
  <si>
    <t>M-Y-KCK.006</t>
  </si>
  <si>
    <t>OTO KAÇAK 3/2 BOBİNLİ VALF GRUBU - ÇİFT SKOP</t>
  </si>
  <si>
    <t>M-Y-KM.009</t>
  </si>
  <si>
    <t>DW AER 3 KOMPRESÖR GRUBU 50 HZ</t>
  </si>
  <si>
    <t>M-Y-KM.013</t>
  </si>
  <si>
    <t>AER 3 KOMPRESÖR BASINÇ ŞALTER GRUBU</t>
  </si>
  <si>
    <t>M-Y-KM.014</t>
  </si>
  <si>
    <t>AER 3 KOMPRESÖR VOLTAJ KORUMALI VALF GRUBU</t>
  </si>
  <si>
    <t>M-Y-KP.018</t>
  </si>
  <si>
    <t>2 L ATIK DEPO ALT SENSÖR UZATMA</t>
  </si>
  <si>
    <t>M-Y-KP.019</t>
  </si>
  <si>
    <t>MANYETİK ALGILAYICI GRUBU</t>
  </si>
  <si>
    <t>M-Y-MG.005</t>
  </si>
  <si>
    <t>AER 3 15 L DEZENFEKTAN DEPO MOTOR GRUBU</t>
  </si>
  <si>
    <t>M-Y-MG.006</t>
  </si>
  <si>
    <t>AER 3 2 L ATIK TANK MOTOR GRUBU</t>
  </si>
  <si>
    <t>M-Y-MS.001</t>
  </si>
  <si>
    <t>AER 3 EVYE MUSLUK GRUBU</t>
  </si>
  <si>
    <t>M-Y-MS.002</t>
  </si>
  <si>
    <t>AER 3 EVYE NOZZLE GRUBU</t>
  </si>
  <si>
    <t>M-Y-MS.003</t>
  </si>
  <si>
    <t>AER 3 EVYE SENSÖR GRUBU</t>
  </si>
  <si>
    <t>M-Y-MT.002</t>
  </si>
  <si>
    <t>MİKSAN MOTOR 90° ÇIKIŞ REKOR GRUBU</t>
  </si>
  <si>
    <t>M-Y-OP.002</t>
  </si>
  <si>
    <t>BARKOD TUTUCU</t>
  </si>
  <si>
    <t>M-Y-PN.006</t>
  </si>
  <si>
    <t>HAVA TABANCASI GRUBU</t>
  </si>
  <si>
    <t>M-Y-PS.001</t>
  </si>
  <si>
    <t>PİSTON GRUBU</t>
  </si>
  <si>
    <t>3 YOLLU PNÖMATİK VANA GRUBU</t>
  </si>
  <si>
    <t>M-Y-RK.007</t>
  </si>
  <si>
    <t>KONSANTRE HAVA ÇEK-VALFİ</t>
  </si>
  <si>
    <t>M-Y-RK.012</t>
  </si>
  <si>
    <t xml:space="preserve">1/2"X20 REKORLU ÇALPARA PASLANMAZ </t>
  </si>
  <si>
    <t>M-Y-RK.013</t>
  </si>
  <si>
    <t xml:space="preserve">1/2"X14 REKORLU ÇALPARA PASLANMAZ </t>
  </si>
  <si>
    <t>SELENOİD GRUBU-KULLANIMA HAZIR+KONSANTRE</t>
  </si>
  <si>
    <t>DEZENFEKTAN DEPO SELENOİD GRUBU-2 ÇIKIŞLI</t>
  </si>
  <si>
    <t>M-Y-SP.001</t>
  </si>
  <si>
    <t>SEPET GRUBU</t>
  </si>
  <si>
    <t>M-Y-SR.002</t>
  </si>
  <si>
    <t>AER 3 SİGORTA RAYI 4 CM</t>
  </si>
  <si>
    <t>M-Y-SR.003</t>
  </si>
  <si>
    <t>AER 3 SİGORTA RAYI 9 CM</t>
  </si>
  <si>
    <t>M-Y-TS.001</t>
  </si>
  <si>
    <t>TEMASSIZ SIVI SEVİYE SENSÖR GRUBU</t>
  </si>
  <si>
    <t>M-Y-TS.004</t>
  </si>
  <si>
    <t>AER 3 SMC VALF GRUBU-1</t>
  </si>
  <si>
    <t>M-Y-TS.005</t>
  </si>
  <si>
    <t>AER 3 SMC VALF GRUBU-2</t>
  </si>
  <si>
    <t>M-DS-Y-AG.001</t>
  </si>
  <si>
    <t>ASKI GRUBU</t>
  </si>
  <si>
    <t>M-DS-Y-AS.005</t>
  </si>
  <si>
    <t>PLUG FAN GRUBU</t>
  </si>
  <si>
    <t>M-DS-Y-GKG.001</t>
  </si>
  <si>
    <t>GÜÇ KABLOSU GRUBU</t>
  </si>
  <si>
    <t>M-DS-Y-KKG.001</t>
  </si>
  <si>
    <t>SELENOİD KİLİT GRUBU</t>
  </si>
  <si>
    <t>DSC KOMPRESÖR GRUBU 50HZ</t>
  </si>
  <si>
    <t>M-DS-Y-KM.003</t>
  </si>
  <si>
    <t>DSC KOMPRESÖR BASINÇ ŞALTER GRUBU</t>
  </si>
  <si>
    <t>M-DS-Y-KM.004</t>
  </si>
  <si>
    <t>DSC KOMPRESÖR VOLTAJ KORUMALI VALF GRUBU</t>
  </si>
  <si>
    <t>M-DS-Y-PFG.001</t>
  </si>
  <si>
    <t>PTFE FİLTRE GRUBU</t>
  </si>
  <si>
    <t>M-DS-Y-RG.001</t>
  </si>
  <si>
    <t>RULMAN GRUBU</t>
  </si>
  <si>
    <t>M-DS-Y-RK.006</t>
  </si>
  <si>
    <t>Y APARAT GRUBU</t>
  </si>
  <si>
    <t>M-DS-Y-SLG.001</t>
  </si>
  <si>
    <t>SMC SELENOİD GRUBU</t>
  </si>
  <si>
    <t>M-DS-Y-SMG.001</t>
  </si>
  <si>
    <t>STEP MOTOR GRUBU</t>
  </si>
  <si>
    <t>M-DS-Y-SRG.001</t>
  </si>
  <si>
    <t>SLIP RING GRUBU</t>
  </si>
  <si>
    <t>DSC MONTAJ OPERASYONU</t>
  </si>
  <si>
    <t>DSC TEMİZLİK OPERASYONU</t>
  </si>
  <si>
    <t>DSC FİNAL KONTROL OPERASYONU</t>
  </si>
  <si>
    <t>DSC PAKETLEME OPERASYONU</t>
  </si>
  <si>
    <t>MAKDA9004-01 - TEMİZLİK OPERASYONU</t>
  </si>
  <si>
    <t>MAKDA9004-01 - PAKETLEME OPERASYONU</t>
  </si>
  <si>
    <t>MAKDA9004-01 - MONTAJ OPERASYONU</t>
  </si>
  <si>
    <t>MAKDA9004-01</t>
  </si>
  <si>
    <t>M-Y-ET.002</t>
  </si>
  <si>
    <t>50X70 TANITIM PLAKASI</t>
  </si>
  <si>
    <t>M-DA-Y-BG.001</t>
  </si>
  <si>
    <t>DETROAIR SPREY BAŞLIK YUVA GRUBU</t>
  </si>
  <si>
    <t>M-DA-Y-KS.002</t>
  </si>
  <si>
    <t>DETROAIR SPREY KASA MONTAJ GRUBU</t>
  </si>
  <si>
    <t>M-DA-Y-MT.001</t>
  </si>
  <si>
    <t>DETROAIR SPREY MOTOR GRUBU</t>
  </si>
  <si>
    <t>M-DA-Y-PN.001</t>
  </si>
  <si>
    <t>DETROAIR SPREY ÖN PANEL GRUBU</t>
  </si>
  <si>
    <t>ÖMER POLAT</t>
  </si>
  <si>
    <t>KAĞAN UDUM</t>
  </si>
  <si>
    <t>İZZET ATAKAN DEMİR</t>
  </si>
  <si>
    <t>MEHMET KAPLAN</t>
  </si>
  <si>
    <t>TOLGAHAN ÇEBİ</t>
  </si>
  <si>
    <t>M.FURKAN YAVUZ</t>
  </si>
  <si>
    <t>HANDE GÜNAYDIN</t>
  </si>
  <si>
    <t>MUSA HIZIR</t>
  </si>
  <si>
    <t>SULTAN SOLAK</t>
  </si>
  <si>
    <t>Çok İyi</t>
  </si>
  <si>
    <t>İyi</t>
  </si>
  <si>
    <t>Orta</t>
  </si>
  <si>
    <t>Düşük</t>
  </si>
  <si>
    <t>Gelişime Açık</t>
  </si>
  <si>
    <t>Açıklama</t>
  </si>
  <si>
    <t>CİHAZ</t>
  </si>
  <si>
    <t>STOK KODU</t>
  </si>
  <si>
    <t>SIRA NO</t>
  </si>
  <si>
    <t>MENÜ SEÇENEKLERİ</t>
  </si>
  <si>
    <t>Değer</t>
  </si>
  <si>
    <t>Puan</t>
  </si>
  <si>
    <t>GENEL TOPLAM</t>
  </si>
  <si>
    <t>ZORLUK DERECESİ</t>
  </si>
  <si>
    <t>Çok Zor</t>
  </si>
  <si>
    <t>Zor</t>
  </si>
  <si>
    <t>Kolay</t>
  </si>
  <si>
    <t>Çok Kolay</t>
  </si>
  <si>
    <r>
      <t xml:space="preserve">Görevi </t>
    </r>
    <r>
      <rPr>
        <b/>
        <sz val="11"/>
        <color theme="1"/>
        <rFont val="Calibri"/>
        <family val="2"/>
        <charset val="162"/>
        <scheme val="minor"/>
      </rPr>
      <t>talimat ve iş emri doğrultusunda</t>
    </r>
    <r>
      <rPr>
        <sz val="11"/>
        <color theme="1"/>
        <rFont val="Calibri"/>
        <family val="2"/>
        <charset val="162"/>
        <scheme val="minor"/>
      </rPr>
      <t xml:space="preserve"> gerçekleştirir. Zaman zaman destek alır. Standart sürede çalışır ancak ayar/ince hassasiyet gerektiren durumlarda yönlendirmeye ihtiyaç duyar.</t>
    </r>
  </si>
  <si>
    <r>
      <t xml:space="preserve">Görevi </t>
    </r>
    <r>
      <rPr>
        <b/>
        <sz val="11"/>
        <color theme="1"/>
        <rFont val="Calibri"/>
        <family val="2"/>
        <charset val="162"/>
        <scheme val="minor"/>
      </rPr>
      <t>sürekli destek ve yönlendirme ile</t>
    </r>
    <r>
      <rPr>
        <sz val="11"/>
        <color theme="1"/>
        <rFont val="Calibri"/>
        <family val="2"/>
        <charset val="162"/>
        <scheme val="minor"/>
      </rPr>
      <t xml:space="preserve"> yapabilir. Hata yapma riski yüksektir. Standart sürelerin üzerindedir, ayar ve kontrol adımlarını tek başına yönetemez.</t>
    </r>
  </si>
  <si>
    <r>
      <t xml:space="preserve">Görevi </t>
    </r>
    <r>
      <rPr>
        <b/>
        <sz val="11"/>
        <color theme="1"/>
        <rFont val="Calibri"/>
        <family val="2"/>
        <charset val="162"/>
        <scheme val="minor"/>
      </rPr>
      <t>tek başına yapamaz</t>
    </r>
    <r>
      <rPr>
        <sz val="11"/>
        <color theme="1"/>
        <rFont val="Calibri"/>
        <family val="2"/>
        <charset val="162"/>
        <scheme val="minor"/>
      </rPr>
      <t>. Süreç bilgisi ve uygulama yetkinliği yoktur. Eğitim alması ve gözetim altında çalışması gerekir.</t>
    </r>
  </si>
  <si>
    <t>Görevi tamamen bağımsız, hatasız ve standart sürenin altında gerçekleştirir. Karmaşık ayarları/şartlandırmaları yapabilir. Problemleri analiz eder, kök neden bularak çözüm üretir. Gerektiğinde başkalarına eğitim verebilir.</t>
  </si>
  <si>
    <t>Görevi çoğunlukla bağımsız gerçekleştirir. Nadiren destek ihtiyacı duyar. Ayar ve bağlantıları doğru yapar, küçük problemleri kendi başına çözer. Standartlara uygundur.</t>
  </si>
  <si>
    <t>Fiziksel veya görsel kontrol ağırlıklıdır. Eğitim ihtiyacı çok düşüktür. Hata riski düşüktür ve işlem adımları son derece basittir.</t>
  </si>
  <si>
    <t>Tekrarlı ve basit işlem adımlarından oluşur. Kısa sürede öğrenilebilir. Özel teknik bilgi veya ayar gerektirmez.</t>
  </si>
  <si>
    <t>Standart iş talimatı ile yapılabilir. İşlem adımları nettir ancak dikkat ve temel teknik bilgi gerektirir. Hata riski orta seviyededir.</t>
  </si>
  <si>
    <t>Teknik bilgi gerektirir. Birden fazla işlem adımı ve kontrol noktası vardır. Ayar ve doğrulama gerektirir, dikkat ve deneyim olmazsa hata riski oluşur.</t>
  </si>
  <si>
    <t>Yüksek teknik bilgi ve deneyim gerektirir. Birden fazla sistemin (mekanik, elektronik, pnömatik vb.) aynı anda yönetilmesini, hassas ayar ve karar vermeyi içerir. Hata riski yüksektir ve sonuçları kritiktir.</t>
  </si>
  <si>
    <t>MONTAJ HATTI PERSONELLERİ</t>
  </si>
  <si>
    <t>YM MONTAJ PERSONELLERİ</t>
  </si>
  <si>
    <t>DAS MONTAJ PERSONELLERİ</t>
  </si>
  <si>
    <t>DSC MONTAJ PERSONELLERİ</t>
  </si>
  <si>
    <t>AER 1 KAPAK PERSONELLERİ</t>
  </si>
  <si>
    <t>AER 3 KAPAK PERSONELLERİ</t>
  </si>
  <si>
    <t>AER 1 EVYE PERSONELLERİ</t>
  </si>
  <si>
    <t>AER 3 EVYE PERSONELLERİ</t>
  </si>
  <si>
    <t>MONTAJ TEST PERSONELLERİ</t>
  </si>
  <si>
    <t>MONTAJ TEST SONRASI PERSONELLERİ</t>
  </si>
  <si>
    <t>STOK ADI</t>
  </si>
  <si>
    <t>AER-1 MONTAJ HATTI 1</t>
  </si>
  <si>
    <t>AER-1 MONTAJ HATTI 2</t>
  </si>
  <si>
    <t>AER-1 MONTAJ HATTI 3</t>
  </si>
  <si>
    <t>AER-1 MONTAJ HATTI 4</t>
  </si>
  <si>
    <t>AER-1 5 YIKAMA HAZIRLIK</t>
  </si>
  <si>
    <t>AER-1 YIKAMA HATTI REWORK</t>
  </si>
  <si>
    <t>AER-1 TEMİZLİK HATTI</t>
  </si>
  <si>
    <t>AER-1 PAKET ÖNCESİ HAZIRLIK</t>
  </si>
  <si>
    <t>AER-1 PAKETLEME OPERASYONU</t>
  </si>
  <si>
    <t>AER-3 MONTAJ HATTI 1</t>
  </si>
  <si>
    <t>AER-3 MONTAJ HATTI 2</t>
  </si>
  <si>
    <t>AER-3 MONTAJ HATTI 3</t>
  </si>
  <si>
    <t>AER-3 MONTAJ HATTI 4</t>
  </si>
  <si>
    <t>AER-3 5 YIKAMA HAZIRLIK</t>
  </si>
  <si>
    <t>AER-3 YIKAMA HATTI REWORK</t>
  </si>
  <si>
    <t>AER-3 TEMİZLİK HATTI</t>
  </si>
  <si>
    <t>AER-3 PAKET ÖNCESİ HAZIRLIK</t>
  </si>
  <si>
    <t>AER-3 PAKETLEME OPERASYONU</t>
  </si>
  <si>
    <t>BÖLÜM</t>
  </si>
  <si>
    <t>PERSONEL ADI</t>
  </si>
  <si>
    <t>Genel Toplam</t>
  </si>
  <si>
    <t>Toplam İZZET ATAKAN DEMİR</t>
  </si>
  <si>
    <t>Toplam MEHMET KAPLAN</t>
  </si>
  <si>
    <t>Toplam TOLGAHAN ÇEBİ</t>
  </si>
  <si>
    <t>Toplam KAĞAN UDUM</t>
  </si>
  <si>
    <t>Toplam M.FURKAN YAVUZ</t>
  </si>
  <si>
    <t>Toplam ÖZER KOÇ</t>
  </si>
  <si>
    <t>Toplam ÖMER POLAT</t>
  </si>
  <si>
    <t>Toplam SEMRA ULTAV</t>
  </si>
  <si>
    <t>Toplam HANDE GÜNAYDIN</t>
  </si>
  <si>
    <t>Toplam MUSA HIZIR</t>
  </si>
  <si>
    <t>Toplam VOLKAN KAVLAK</t>
  </si>
  <si>
    <t>Toplam SULTAN SOLAK</t>
  </si>
  <si>
    <t>PERSONELLER</t>
  </si>
  <si>
    <t>PERSONEL SEÇ</t>
  </si>
  <si>
    <t>YAPILAN İŞLEM</t>
  </si>
  <si>
    <t>TOPLAM</t>
  </si>
  <si>
    <t>İZZET AKDEMİR</t>
  </si>
  <si>
    <t>MUHAMMED FURKAN YAVUZ</t>
  </si>
  <si>
    <t>YARIMAMUL SORUMLUSU</t>
  </si>
  <si>
    <t>EMİR KODAŞ</t>
  </si>
  <si>
    <t>MURAT KİRAZ</t>
  </si>
  <si>
    <t>ÜMİT UYGUN</t>
  </si>
  <si>
    <t>OZAN HATAY</t>
  </si>
  <si>
    <t>TEMİZLİK</t>
  </si>
  <si>
    <t>YARI MAMUL MONTAJ</t>
  </si>
  <si>
    <t>GÖKTUĞ ERGİN</t>
  </si>
  <si>
    <t>ANA MONTAJ</t>
  </si>
  <si>
    <t>FİNAL KALİTE KONTROL HAZIRLIK</t>
  </si>
  <si>
    <t>5 YIKAMA TESTİ</t>
  </si>
  <si>
    <t>DETRO AIR SPRAY MONTAJ</t>
  </si>
  <si>
    <t>LAZER MAKİNESİ</t>
  </si>
  <si>
    <t>CİHAZ KALİBRASYON</t>
  </si>
  <si>
    <t>KAPAK YARI MAMUL MONTAJ</t>
  </si>
  <si>
    <t>EVYE YARI MAMUL MONTAJ</t>
  </si>
  <si>
    <t>DSC MONTAJ</t>
  </si>
  <si>
    <t>OSB YARI MAMUL MONTAJ</t>
  </si>
  <si>
    <t>EMİR KADAŞ</t>
  </si>
  <si>
    <r>
      <rPr>
        <b/>
        <sz val="11"/>
        <color theme="1"/>
        <rFont val="Calibri"/>
        <family val="2"/>
        <charset val="162"/>
        <scheme val="minor"/>
      </rPr>
      <t>Doküman No.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i/>
        <sz val="9"/>
        <color theme="1"/>
        <rFont val="Calibri"/>
        <family val="2"/>
        <charset val="162"/>
        <scheme val="minor"/>
      </rPr>
      <t>Document Nu.</t>
    </r>
  </si>
  <si>
    <r>
      <t xml:space="preserve">Yayın Tarihi
</t>
    </r>
    <r>
      <rPr>
        <i/>
        <sz val="9"/>
        <color theme="1"/>
        <rFont val="Calibri"/>
        <family val="2"/>
        <charset val="162"/>
        <scheme val="minor"/>
      </rPr>
      <t>Publication Date</t>
    </r>
  </si>
  <si>
    <r>
      <rPr>
        <b/>
        <sz val="11"/>
        <color theme="1"/>
        <rFont val="Calibri"/>
        <family val="2"/>
        <charset val="162"/>
        <scheme val="minor"/>
      </rPr>
      <t>Revizyon No.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i/>
        <sz val="9"/>
        <color theme="1"/>
        <rFont val="Calibri"/>
        <family val="2"/>
        <charset val="162"/>
        <scheme val="minor"/>
      </rPr>
      <t>Revision Nu.</t>
    </r>
  </si>
  <si>
    <r>
      <rPr>
        <b/>
        <sz val="11"/>
        <color theme="1"/>
        <rFont val="Calibri"/>
        <family val="2"/>
        <charset val="162"/>
        <scheme val="minor"/>
      </rPr>
      <t>Revizyon Tarihi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i/>
        <sz val="9"/>
        <color theme="1"/>
        <rFont val="Calibri"/>
        <family val="2"/>
        <charset val="162"/>
        <scheme val="minor"/>
      </rPr>
      <t>Revision Date</t>
    </r>
  </si>
  <si>
    <r>
      <t xml:space="preserve">DETROX CİHAZ MONTAJ PERSONEL GÖREV DAĞILIM LİSTESİ
</t>
    </r>
    <r>
      <rPr>
        <i/>
        <sz val="11"/>
        <color theme="1"/>
        <rFont val="Calibri"/>
        <family val="2"/>
        <charset val="162"/>
        <scheme val="minor"/>
      </rPr>
      <t>DEVICE ASSEMBLY STAFF DUTY ASSIGNMENT LIST</t>
    </r>
  </si>
  <si>
    <r>
      <t xml:space="preserve">ADI SOYADI
</t>
    </r>
    <r>
      <rPr>
        <i/>
        <sz val="9"/>
        <color theme="1"/>
        <rFont val="Calibri"/>
        <family val="2"/>
        <charset val="162"/>
        <scheme val="minor"/>
      </rPr>
      <t>NAME &amp; SURNAME</t>
    </r>
  </si>
  <si>
    <r>
      <t xml:space="preserve">ANA GÖREV
</t>
    </r>
    <r>
      <rPr>
        <i/>
        <sz val="9"/>
        <color theme="1"/>
        <rFont val="Calibri"/>
        <family val="2"/>
        <charset val="162"/>
        <scheme val="minor"/>
      </rPr>
      <t>MAIN DUTY</t>
    </r>
  </si>
  <si>
    <r>
      <t xml:space="preserve">YAN GÖREV
</t>
    </r>
    <r>
      <rPr>
        <i/>
        <sz val="9"/>
        <color theme="1"/>
        <rFont val="Calibri"/>
        <family val="2"/>
        <charset val="162"/>
        <scheme val="minor"/>
      </rPr>
      <t>SECOND DUTY</t>
    </r>
  </si>
  <si>
    <r>
      <t xml:space="preserve">KADRO ÜNVANI
</t>
    </r>
    <r>
      <rPr>
        <i/>
        <sz val="9"/>
        <color theme="1"/>
        <rFont val="Calibri"/>
        <family val="2"/>
        <charset val="162"/>
        <scheme val="minor"/>
      </rPr>
      <t>JOB TITLE</t>
    </r>
  </si>
  <si>
    <r>
      <t xml:space="preserve">OLMADIĞINDA YERİNE BAKACAK KİŞİ
</t>
    </r>
    <r>
      <rPr>
        <i/>
        <sz val="9"/>
        <color theme="1"/>
        <rFont val="Calibri"/>
        <family val="2"/>
        <charset val="162"/>
        <scheme val="minor"/>
      </rPr>
      <t>ALTERNATE</t>
    </r>
  </si>
  <si>
    <r>
      <t xml:space="preserve">YETKİLİSİ
</t>
    </r>
    <r>
      <rPr>
        <i/>
        <sz val="9"/>
        <color theme="1"/>
        <rFont val="Calibri"/>
        <family val="2"/>
        <charset val="162"/>
        <scheme val="minor"/>
      </rPr>
      <t>SUPERVISOR</t>
    </r>
  </si>
  <si>
    <t>ANA MONTAJ OP.</t>
  </si>
  <si>
    <t>MONTAJ TEST OP.</t>
  </si>
  <si>
    <t>YARI MAMUL MONTAJ OP.</t>
  </si>
  <si>
    <t>ANA MONTAJ SORUMLUSU</t>
  </si>
  <si>
    <t>DSC SORUMLUSU</t>
  </si>
  <si>
    <t>DAS SORUMLUSU</t>
  </si>
  <si>
    <t>SUPERVISOR</t>
  </si>
  <si>
    <t>SEVK HAZIRLIK SORUMLUSU</t>
  </si>
  <si>
    <t>OPERASYON-YM ADI</t>
  </si>
  <si>
    <t>ÜMİT UZUN</t>
  </si>
  <si>
    <t>GERÇEKLEŞEN</t>
  </si>
  <si>
    <t>HEDEF</t>
  </si>
  <si>
    <t>-</t>
  </si>
  <si>
    <t>ANA GÖREV</t>
  </si>
  <si>
    <t>YAN GÖREV</t>
  </si>
  <si>
    <t>HEDEF BAŞARI PUANI</t>
  </si>
  <si>
    <t>GERÇEKLEŞEN BAŞARI PUANI</t>
  </si>
  <si>
    <t>BAŞARI ORANI</t>
  </si>
  <si>
    <t>PERSONEL HEDEF PUANI</t>
  </si>
  <si>
    <t>İZZET ATAKAN DEMİR (H)</t>
  </si>
  <si>
    <t>PERSONEL GERÇEKLEŞEN PUANI</t>
  </si>
  <si>
    <t>ÜMİT UZUN (H)</t>
  </si>
  <si>
    <t>TOLGAHAN ÇEBİ (H)</t>
  </si>
  <si>
    <t>KAĞAN UDUM (H)</t>
  </si>
  <si>
    <t>OZAN HATAY (H)</t>
  </si>
  <si>
    <t>ÖZER KOÇ (H)</t>
  </si>
  <si>
    <t>ÖMER POLAT (H)</t>
  </si>
  <si>
    <t>SEMRA ULTAV (H)</t>
  </si>
  <si>
    <t>HANDE GÜNAYDIN (H)</t>
  </si>
  <si>
    <t>MUSA HIZIR (H)</t>
  </si>
  <si>
    <t>VOLKAN KAVLAK (H)</t>
  </si>
  <si>
    <t>SULTAN SOLAK (H)</t>
  </si>
  <si>
    <t>EMİR KODAŞ (H)</t>
  </si>
  <si>
    <t>MURAT KİRAZ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</si>
</sst>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₺-41F]_-;\-* #,##0.00\ [$₺-41F]_-;_-* &quot;-&quot;??\ [$₺-41F]_-;_-@_-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i/>
      <sz val="9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8"/>
      <color theme="0" tint="-0.34998626667073579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AE7B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 applyProtection="1">
      <alignment horizontal="center" vertical="center" shrinkToFit="1"/>
      <protection locked="0"/>
    </xf>
    <xf numFmtId="0" fontId="8" fillId="6" borderId="3" xfId="0" applyFont="1" applyFill="1" applyBorder="1" applyAlignment="1">
      <alignment horizontal="center" vertical="center" shrinkToFit="1"/>
    </xf>
    <xf numFmtId="0" fontId="8" fillId="7" borderId="3" xfId="0" applyFont="1" applyFill="1" applyBorder="1" applyAlignment="1">
      <alignment horizontal="center" vertical="center" shrinkToFit="1"/>
    </xf>
    <xf numFmtId="0" fontId="8" fillId="8" borderId="3" xfId="0" applyFont="1" applyFill="1" applyBorder="1" applyAlignment="1">
      <alignment horizontal="center" vertical="center" shrinkToFit="1"/>
    </xf>
    <xf numFmtId="0" fontId="8" fillId="9" borderId="3" xfId="0" applyFont="1" applyFill="1" applyBorder="1" applyAlignment="1">
      <alignment horizontal="center" vertical="center" shrinkToFit="1"/>
    </xf>
    <xf numFmtId="0" fontId="8" fillId="10" borderId="3" xfId="0" applyFont="1" applyFill="1" applyBorder="1" applyAlignment="1">
      <alignment horizontal="center" vertical="center" shrinkToFit="1"/>
    </xf>
    <xf numFmtId="0" fontId="6" fillId="11" borderId="0" xfId="0" applyFont="1" applyFill="1" applyAlignment="1">
      <alignment horizontal="centerContinuous" vertical="center" wrapText="1" shrinkToFit="1"/>
    </xf>
    <xf numFmtId="0" fontId="0" fillId="0" borderId="0" xfId="0" applyAlignment="1">
      <alignment horizontal="center" vertical="center"/>
    </xf>
    <xf numFmtId="0" fontId="7" fillId="5" borderId="4" xfId="0" applyFont="1" applyFill="1" applyBorder="1" applyAlignment="1">
      <alignment horizontal="center" vertical="center" shrinkToFit="1"/>
    </xf>
    <xf numFmtId="0" fontId="0" fillId="2" borderId="3" xfId="0" applyFill="1" applyBorder="1" applyAlignment="1" applyProtection="1">
      <alignment horizontal="left" vertical="center" wrapText="1" shrinkToFit="1"/>
      <protection locked="0"/>
    </xf>
    <xf numFmtId="0" fontId="8" fillId="12" borderId="3" xfId="0" applyFont="1" applyFill="1" applyBorder="1" applyAlignment="1">
      <alignment horizontal="center" vertical="center" shrinkToFit="1"/>
    </xf>
    <xf numFmtId="0" fontId="8" fillId="13" borderId="3" xfId="0" applyFont="1" applyFill="1" applyBorder="1" applyAlignment="1">
      <alignment horizontal="center" vertical="center" shrinkToFit="1"/>
    </xf>
    <xf numFmtId="0" fontId="8" fillId="4" borderId="3" xfId="0" applyFont="1" applyFill="1" applyBorder="1" applyAlignment="1">
      <alignment horizontal="center" vertical="center" shrinkToFit="1"/>
    </xf>
    <xf numFmtId="0" fontId="8" fillId="14" borderId="3" xfId="0" applyFont="1" applyFill="1" applyBorder="1" applyAlignment="1">
      <alignment horizontal="center" vertical="center" shrinkToFit="1"/>
    </xf>
    <xf numFmtId="0" fontId="8" fillId="12" borderId="1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shrinkToFit="1"/>
    </xf>
    <xf numFmtId="0" fontId="8" fillId="10" borderId="1" xfId="0" applyFont="1" applyFill="1" applyBorder="1" applyAlignment="1">
      <alignment horizontal="center" vertical="center" shrinkToFit="1"/>
    </xf>
    <xf numFmtId="0" fontId="4" fillId="3" borderId="1" xfId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 shrinkToFit="1"/>
    </xf>
    <xf numFmtId="0" fontId="8" fillId="14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2" fillId="15" borderId="24" xfId="0" applyFont="1" applyFill="1" applyBorder="1" applyAlignment="1">
      <alignment horizontal="center" vertical="center"/>
    </xf>
    <xf numFmtId="0" fontId="2" fillId="15" borderId="25" xfId="0" applyFont="1" applyFill="1" applyBorder="1" applyAlignment="1">
      <alignment horizontal="center" vertical="center"/>
    </xf>
    <xf numFmtId="0" fontId="0" fillId="0" borderId="1" xfId="0" applyBorder="1"/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3" xfId="0" pivotButton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3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8" xfId="0" applyBorder="1"/>
    <xf numFmtId="0" fontId="0" fillId="0" borderId="9" xfId="0" applyBorder="1"/>
    <xf numFmtId="0" fontId="0" fillId="0" borderId="19" xfId="0" applyBorder="1"/>
    <xf numFmtId="0" fontId="0" fillId="0" borderId="37" xfId="0" applyBorder="1"/>
    <xf numFmtId="0" fontId="0" fillId="0" borderId="11" xfId="0" applyBorder="1"/>
    <xf numFmtId="0" fontId="2" fillId="17" borderId="24" xfId="0" applyFont="1" applyFill="1" applyBorder="1" applyAlignment="1">
      <alignment horizontal="center" vertical="center" wrapText="1"/>
    </xf>
    <xf numFmtId="0" fontId="2" fillId="17" borderId="26" xfId="0" applyFont="1" applyFill="1" applyBorder="1" applyAlignment="1">
      <alignment horizontal="center" vertical="center" wrapText="1"/>
    </xf>
    <xf numFmtId="0" fontId="2" fillId="17" borderId="25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30" xfId="0" applyBorder="1"/>
    <xf numFmtId="0" fontId="0" fillId="0" borderId="8" xfId="0" applyBorder="1"/>
    <xf numFmtId="0" fontId="2" fillId="3" borderId="32" xfId="1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 shrinkToFit="1"/>
    </xf>
    <xf numFmtId="0" fontId="2" fillId="2" borderId="38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center" vertical="center" shrinkToFit="1"/>
    </xf>
    <xf numFmtId="0" fontId="8" fillId="9" borderId="1" xfId="0" applyFont="1" applyFill="1" applyBorder="1" applyAlignment="1">
      <alignment horizontal="center" vertical="center" shrinkToFit="1"/>
    </xf>
    <xf numFmtId="0" fontId="8" fillId="8" borderId="1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center"/>
    </xf>
    <xf numFmtId="0" fontId="2" fillId="3" borderId="39" xfId="1" applyFont="1" applyFill="1" applyBorder="1" applyAlignment="1">
      <alignment vertical="center" textRotation="45"/>
    </xf>
    <xf numFmtId="0" fontId="2" fillId="3" borderId="5" xfId="1" applyFont="1" applyFill="1" applyBorder="1" applyAlignment="1">
      <alignment vertical="center" textRotation="45"/>
    </xf>
    <xf numFmtId="0" fontId="11" fillId="1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16" borderId="39" xfId="0" applyFont="1" applyFill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11" fillId="16" borderId="44" xfId="0" applyFont="1" applyFill="1" applyBorder="1" applyAlignment="1">
      <alignment horizontal="center" vertical="center"/>
    </xf>
    <xf numFmtId="0" fontId="11" fillId="16" borderId="45" xfId="0" applyFont="1" applyFill="1" applyBorder="1" applyAlignment="1">
      <alignment horizontal="center" vertical="center"/>
    </xf>
    <xf numFmtId="9" fontId="11" fillId="0" borderId="1" xfId="3" applyFont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6" xfId="1" applyFont="1" applyFill="1" applyBorder="1" applyAlignment="1">
      <alignment horizontal="right" vertical="center"/>
    </xf>
    <xf numFmtId="0" fontId="2" fillId="2" borderId="2" xfId="1" applyFont="1" applyFill="1" applyBorder="1" applyAlignment="1">
      <alignment horizontal="right" vertical="center"/>
    </xf>
    <xf numFmtId="0" fontId="7" fillId="3" borderId="31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1" fillId="0" borderId="38" xfId="0" applyFont="1" applyBorder="1" applyAlignment="1">
      <alignment horizontal="center" vertical="center"/>
    </xf>
    <xf numFmtId="0" fontId="14" fillId="15" borderId="39" xfId="0" applyFont="1" applyFill="1" applyBorder="1" applyAlignment="1">
      <alignment horizontal="center" vertical="center"/>
    </xf>
    <xf numFmtId="0" fontId="14" fillId="15" borderId="43" xfId="0" applyFont="1" applyFill="1" applyBorder="1" applyAlignment="1">
      <alignment horizontal="center" vertical="center"/>
    </xf>
    <xf numFmtId="0" fontId="14" fillId="15" borderId="40" xfId="0" applyFont="1" applyFill="1" applyBorder="1" applyAlignment="1">
      <alignment horizontal="center" vertical="center"/>
    </xf>
  </cellXfs>
  <cellStyles count="4">
    <cellStyle name="Normal" xfId="0" builtinId="0"/>
    <cellStyle name="Normal 4 5" xfId="2" xr:uid="{00000000-0005-0000-0000-000002000000}"/>
    <cellStyle name="Normal 7" xfId="1" xr:uid="{00000000-0005-0000-0000-000003000000}"/>
    <cellStyle name="Yüzde" xfId="3" builtinId="5"/>
  </cellStyles>
  <dxfs count="173"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800" b="1">
                <a:solidFill>
                  <a:sysClr val="windowText" lastClr="000000"/>
                </a:solidFill>
              </a:rPr>
              <a:t>PERSONEL OPERASYONEL ANALİZ GRAFİĞİ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Verileri'!$B$1</c:f>
              <c:strCache>
                <c:ptCount val="1"/>
                <c:pt idx="0">
                  <c:v>PERSONEL HEDEF PUANI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'Grafik Verileri'!$A$2:$A$163</c:f>
              <c:strCache>
                <c:ptCount val="162"/>
                <c:pt idx="0">
                  <c:v>AER-1 MONTAJ HATTI 1</c:v>
                </c:pt>
                <c:pt idx="1">
                  <c:v>AER-1 MONTAJ HATTI 2</c:v>
                </c:pt>
                <c:pt idx="2">
                  <c:v>AER-1 MONTAJ HATTI 3</c:v>
                </c:pt>
                <c:pt idx="3">
                  <c:v>AER-1 MONTAJ HATTI 4</c:v>
                </c:pt>
                <c:pt idx="4">
                  <c:v>AER-1 5 YIKAMA HAZIRLIK</c:v>
                </c:pt>
                <c:pt idx="5">
                  <c:v>AER-1 YIKAMA HATTI REWORK</c:v>
                </c:pt>
                <c:pt idx="6">
                  <c:v>AER-1 TEMİZLİK HATTI</c:v>
                </c:pt>
                <c:pt idx="7">
                  <c:v>AER-1 PAKET ÖNCESİ HAZIRLIK</c:v>
                </c:pt>
                <c:pt idx="8">
                  <c:v>AER-1 PAKETLEME OPERASYONU</c:v>
                </c:pt>
                <c:pt idx="9">
                  <c:v>CPC ERKEK 90°</c:v>
                </c:pt>
                <c:pt idx="10">
                  <c:v>DIŞ FİLTRE GRUBU</c:v>
                </c:pt>
                <c:pt idx="11">
                  <c:v>CPC DAĞITICI-ÇİFT SKOP GRUBU</c:v>
                </c:pt>
                <c:pt idx="12">
                  <c:v>NOZZLE DAĞITICI GRUBU</c:v>
                </c:pt>
                <c:pt idx="13">
                  <c:v>DOLUM KAPAK GRUBU-ALKOL</c:v>
                </c:pt>
                <c:pt idx="14">
                  <c:v>DOLUM KAPAK GRUBU-ENZIMATIK</c:v>
                </c:pt>
                <c:pt idx="15">
                  <c:v>DOLUM KAPAK GRUBU-KONSANTRE</c:v>
                </c:pt>
                <c:pt idx="16">
                  <c:v>5 L KONS. DEZ. DEPO GRUBU</c:v>
                </c:pt>
                <c:pt idx="17">
                  <c:v>5 L ENZİM DEPO GRUBU</c:v>
                </c:pt>
                <c:pt idx="18">
                  <c:v>5 L ALKOL DEPO GRUBU</c:v>
                </c:pt>
                <c:pt idx="19">
                  <c:v>15 L ATIK DEPO GRUBU</c:v>
                </c:pt>
                <c:pt idx="20">
                  <c:v>15 L DEZENFEKTAN DEPO GRUBU</c:v>
                </c:pt>
                <c:pt idx="21">
                  <c:v>15 L TEMİZ SU DEPO GRUBU</c:v>
                </c:pt>
                <c:pt idx="22">
                  <c:v>15 L PASLANMAZ DEPO GRUBU</c:v>
                </c:pt>
                <c:pt idx="23">
                  <c:v>DOZAJ POMPA GRUBU 7 L</c:v>
                </c:pt>
                <c:pt idx="24">
                  <c:v>70X100 TANITIM PLAKASI</c:v>
                </c:pt>
                <c:pt idx="25">
                  <c:v>GİRDAP ÖNLEYİCİ</c:v>
                </c:pt>
                <c:pt idx="26">
                  <c:v>EVYE-ÇİFT SKOP, ÇİFT TANK GRUBU</c:v>
                </c:pt>
                <c:pt idx="27">
                  <c:v>SELENOİD TEL FİLTRE GRUBU</c:v>
                </c:pt>
                <c:pt idx="28">
                  <c:v>EVYE GİDER GRUBU</c:v>
                </c:pt>
                <c:pt idx="29">
                  <c:v>KABLO SETİ-İLETİŞİM-USB KABLO GRUBU</c:v>
                </c:pt>
                <c:pt idx="30">
                  <c:v>OLF 100AF KOMPRESÖR GRUBU </c:v>
                </c:pt>
                <c:pt idx="31">
                  <c:v>AER 1 KOMPRESÖR SELENOİD VALF GRUBU</c:v>
                </c:pt>
                <c:pt idx="32">
                  <c:v>KAPAK GRUBU KİLİTSİZ MODEL</c:v>
                </c:pt>
                <c:pt idx="33">
                  <c:v>15 L DEZENFEKTAN DEPO KAPAK GRUBU</c:v>
                </c:pt>
                <c:pt idx="34">
                  <c:v>15 L ATIK DEPO KAPAK GRUBU</c:v>
                </c:pt>
                <c:pt idx="35">
                  <c:v>15 L TEMİZ SU DEPO+UV KAPAK GRUBU</c:v>
                </c:pt>
                <c:pt idx="36">
                  <c:v>5 L DEPO KAPAK GRUBU</c:v>
                </c:pt>
                <c:pt idx="37">
                  <c:v>15 L PASLANMAZ DEPO KAPAK GRUBU</c:v>
                </c:pt>
                <c:pt idx="38">
                  <c:v>AER 1 ÜST KAPAK ARKA MENTEŞE GRUBU</c:v>
                </c:pt>
                <c:pt idx="39">
                  <c:v>MANOMETRE GRUBU</c:v>
                </c:pt>
                <c:pt idx="40">
                  <c:v>OIL-LESS KAÇAK TEST MOTOR GRUBU</c:v>
                </c:pt>
                <c:pt idx="41">
                  <c:v>ALT SENSÖR GRUBU</c:v>
                </c:pt>
                <c:pt idx="42">
                  <c:v>ATIK MOTOR GRUBU</c:v>
                </c:pt>
                <c:pt idx="43">
                  <c:v>DEZENFEKTAN MOTOR GRUBU</c:v>
                </c:pt>
                <c:pt idx="44">
                  <c:v>TEMİZ SU MOTOR GRUBU</c:v>
                </c:pt>
                <c:pt idx="45">
                  <c:v>SİRKÜLASYON POMPASI GRUBU</c:v>
                </c:pt>
                <c:pt idx="46">
                  <c:v>OSB PAKETLEME</c:v>
                </c:pt>
                <c:pt idx="47">
                  <c:v>ATIK MOTOR ÇIKIŞ REKOR GRUBU</c:v>
                </c:pt>
                <c:pt idx="48">
                  <c:v>5 L ENZİM DEPO REKOR GRUBU</c:v>
                </c:pt>
                <c:pt idx="49">
                  <c:v>5 L ALKOL DEPO REKOR GRUBU</c:v>
                </c:pt>
                <c:pt idx="50">
                  <c:v>5 L KONS. DEZ. DEPO REKOR GRUBU</c:v>
                </c:pt>
                <c:pt idx="51">
                  <c:v>EVYE DEZENFEKTAN DEPO REKOR GRUBU</c:v>
                </c:pt>
                <c:pt idx="52">
                  <c:v>EVYE TEMİZ DEPO REKOR GRUBU</c:v>
                </c:pt>
                <c:pt idx="53">
                  <c:v>OTO KAÇAK CPC GRUBU</c:v>
                </c:pt>
                <c:pt idx="54">
                  <c:v>HAVA ÇEK-VALFİ</c:v>
                </c:pt>
                <c:pt idx="55">
                  <c:v>1/2 DİK ÇEK-VALF</c:v>
                </c:pt>
                <c:pt idx="56">
                  <c:v>SELENOİD GRUBU-ÇİFT SKOP ÇİFT TANK</c:v>
                </c:pt>
                <c:pt idx="57">
                  <c:v>EVYE İÇİ PAKET-ÇİFT SCOP</c:v>
                </c:pt>
                <c:pt idx="58">
                  <c:v>SU GİRİŞ VENTİLİ GRUBU</c:v>
                </c:pt>
                <c:pt idx="59">
                  <c:v>TAHLİYE VANA GRUBU PASLANMAZ</c:v>
                </c:pt>
                <c:pt idx="60">
                  <c:v>AER 1 SMC VALF GRUBU</c:v>
                </c:pt>
                <c:pt idx="61">
                  <c:v>UV LAMBA KÜP DUY GRUBU</c:v>
                </c:pt>
                <c:pt idx="62">
                  <c:v>ÜST SENSÖR GRUBU</c:v>
                </c:pt>
                <c:pt idx="63">
                  <c:v>AER-3 MONTAJ HATTI 1</c:v>
                </c:pt>
                <c:pt idx="64">
                  <c:v>AER-3 MONTAJ HATTI 2</c:v>
                </c:pt>
                <c:pt idx="65">
                  <c:v>AER-3 MONTAJ HATTI 3</c:v>
                </c:pt>
                <c:pt idx="66">
                  <c:v>AER-3 MONTAJ HATTI 4</c:v>
                </c:pt>
                <c:pt idx="67">
                  <c:v>AER-3 5 YIKAMA HAZIRLIK</c:v>
                </c:pt>
                <c:pt idx="68">
                  <c:v>AER-3 YIKAMA HATTI REWORK</c:v>
                </c:pt>
                <c:pt idx="69">
                  <c:v>AER-3 TEMİZLİK HATTI</c:v>
                </c:pt>
                <c:pt idx="70">
                  <c:v>AER-3 PAKET ÖNCESİ HAZIRLIK</c:v>
                </c:pt>
                <c:pt idx="71">
                  <c:v>AER-3 PAKETLEME OPERASYONU</c:v>
                </c:pt>
                <c:pt idx="72">
                  <c:v>AER 3 EVYE İÇİ PAKET-ÇİFT SKOP</c:v>
                </c:pt>
                <c:pt idx="73">
                  <c:v>TEKLİ AKIŞ SENSÖR GRUBU-ENZİM ALKOL</c:v>
                </c:pt>
                <c:pt idx="74">
                  <c:v>TEKLİ AKIŞ SENSÖR GRUBU-KONSANTRE</c:v>
                </c:pt>
                <c:pt idx="75">
                  <c:v>HOUSING GRUBU</c:v>
                </c:pt>
                <c:pt idx="76">
                  <c:v>AER 3 CPC DAĞITICI-ÇİFT SKOP GRUBU</c:v>
                </c:pt>
                <c:pt idx="77">
                  <c:v>AER 3 NOZZLE DAĞITICI GRUBU</c:v>
                </c:pt>
                <c:pt idx="78">
                  <c:v>15 L DEZENFEKTAN DEPO GRUBU</c:v>
                </c:pt>
                <c:pt idx="79">
                  <c:v>2 L ATIK TANKI GRUBU</c:v>
                </c:pt>
                <c:pt idx="80">
                  <c:v>ATIK KOLLEKTÖR GRUBU</c:v>
                </c:pt>
                <c:pt idx="81">
                  <c:v>DOZAJ POMPA GRUBU-ENZİM ALKOL</c:v>
                </c:pt>
                <c:pt idx="82">
                  <c:v>DOZAJ POMPA GRUBU-KONSANTRE</c:v>
                </c:pt>
                <c:pt idx="83">
                  <c:v>DETROWASH AER 3 DOZAJ GRUBU</c:v>
                </c:pt>
                <c:pt idx="84">
                  <c:v>70X100 TANITIM PLAKASI</c:v>
                </c:pt>
                <c:pt idx="85">
                  <c:v>GRAFİK EKRAN EVYE GRUBU-ÇİFT SKOP</c:v>
                </c:pt>
                <c:pt idx="86">
                  <c:v>SEPET</c:v>
                </c:pt>
                <c:pt idx="87">
                  <c:v>EVYE HAVA FİLTRESİ-ORTA </c:v>
                </c:pt>
                <c:pt idx="88">
                  <c:v>5 L PASLANMAZ HAVA TANK GRUBU</c:v>
                </c:pt>
                <c:pt idx="89">
                  <c:v>24V GÜÇ KABLOSU GRUBU</c:v>
                </c:pt>
                <c:pt idx="90">
                  <c:v>OTO KAÇAK TEST GRUBU-ÇİFT SKOP</c:v>
                </c:pt>
                <c:pt idx="91">
                  <c:v>BASINÇ TRANSMİTTER GRUBU</c:v>
                </c:pt>
                <c:pt idx="92">
                  <c:v>OTO KAÇAK 2/2 SELENOİD VALF GRUBU</c:v>
                </c:pt>
                <c:pt idx="93">
                  <c:v>OTO KAÇAK 3/2 BOBİNLİ VALF GRUBU - ÇİFT SKOP</c:v>
                </c:pt>
                <c:pt idx="94">
                  <c:v>DW AER 3 KOMPRESÖR GRUBU 50 HZ</c:v>
                </c:pt>
                <c:pt idx="95">
                  <c:v>AER 3 KOMPRESÖR BASINÇ ŞALTER GRUBU</c:v>
                </c:pt>
                <c:pt idx="96">
                  <c:v>AER 3 KOMPRESÖR VOLTAJ KORUMALI VALF GRUBU</c:v>
                </c:pt>
                <c:pt idx="97">
                  <c:v>ENZİM-ALKOL BİDON KAPAK GRUBU</c:v>
                </c:pt>
                <c:pt idx="98">
                  <c:v>15 L DEZENFEKTAN DEPO KAPAK GRUBU</c:v>
                </c:pt>
                <c:pt idx="99">
                  <c:v>2 L ATIK TANKI KAPAK GRUBU</c:v>
                </c:pt>
                <c:pt idx="100">
                  <c:v>ÜST KAPAK GRUBU</c:v>
                </c:pt>
                <c:pt idx="101">
                  <c:v>TAŞMA SENSÖR GRUBU</c:v>
                </c:pt>
                <c:pt idx="102">
                  <c:v>2 L ATIK DEPO ALT SENSÖR UZATMA</c:v>
                </c:pt>
                <c:pt idx="103">
                  <c:v>MANYETİK ALGILAYICI GRUBU</c:v>
                </c:pt>
                <c:pt idx="104">
                  <c:v>AER 3 15 L DEZENFEKTAN DEPO MOTOR GRUBU</c:v>
                </c:pt>
                <c:pt idx="105">
                  <c:v>AER 3 2 L ATIK TANK MOTOR GRUBU</c:v>
                </c:pt>
                <c:pt idx="106">
                  <c:v>AER 3 EVYE MUSLUK GRUBU</c:v>
                </c:pt>
                <c:pt idx="107">
                  <c:v>AER 3 EVYE NOZZLE GRUBU</c:v>
                </c:pt>
                <c:pt idx="108">
                  <c:v>AER 3 EVYE SENSÖR GRUBU</c:v>
                </c:pt>
                <c:pt idx="109">
                  <c:v>SİRKÜLASYON MOTOR GRUBU</c:v>
                </c:pt>
                <c:pt idx="110">
                  <c:v>MİKSAN MOTOR 90° ÇIKIŞ REKOR GRUBU</c:v>
                </c:pt>
                <c:pt idx="111">
                  <c:v>BARKOD TUTUCU</c:v>
                </c:pt>
                <c:pt idx="112">
                  <c:v>REGÜLATÖR GRUBU</c:v>
                </c:pt>
                <c:pt idx="113">
                  <c:v>KANAL HAVA SELENOİD GRUBU</c:v>
                </c:pt>
                <c:pt idx="114">
                  <c:v>KANAL HAVA REGÜLATÖR GRUBU</c:v>
                </c:pt>
                <c:pt idx="115">
                  <c:v>OTO KAÇAK HAVA REGÜLATÖR GRUBU</c:v>
                </c:pt>
                <c:pt idx="116">
                  <c:v>KAPAK VALF GRUBU</c:v>
                </c:pt>
                <c:pt idx="117">
                  <c:v>HAVA TABANCASI GRUBU</c:v>
                </c:pt>
                <c:pt idx="118">
                  <c:v>PİSTON GRUBU</c:v>
                </c:pt>
                <c:pt idx="119">
                  <c:v>3 YOLLU PNÖMATİK VANA GRUBU</c:v>
                </c:pt>
                <c:pt idx="120">
                  <c:v>ATIK ÇEK-VALFİ</c:v>
                </c:pt>
                <c:pt idx="121">
                  <c:v>KONSANTRE ÇEK-VALFİ</c:v>
                </c:pt>
                <c:pt idx="122">
                  <c:v>KONSANTRE HAVA ÇEK-VALFİ</c:v>
                </c:pt>
                <c:pt idx="123">
                  <c:v>OTO KAÇAK CPC GRUBU</c:v>
                </c:pt>
                <c:pt idx="124">
                  <c:v>HAVA ÇEK-VALFİ</c:v>
                </c:pt>
                <c:pt idx="125">
                  <c:v>1/2"X20 REKORLU ÇALPARA PASLANMAZ </c:v>
                </c:pt>
                <c:pt idx="126">
                  <c:v>1/2"X14 REKORLU ÇALPARA PASLANMAZ </c:v>
                </c:pt>
                <c:pt idx="127">
                  <c:v>SELENOİD GRUBU-KULLANIMA HAZIR+KONSANTRE</c:v>
                </c:pt>
                <c:pt idx="128">
                  <c:v>DEZENFEKTAN DEPO SELENOİD GRUBU-2 ÇIKIŞLI</c:v>
                </c:pt>
                <c:pt idx="129">
                  <c:v>SEPET GRUBU</c:v>
                </c:pt>
                <c:pt idx="130">
                  <c:v>TEMASSIZ SIVI SEVİYE SENSÖR GRUBU</c:v>
                </c:pt>
                <c:pt idx="131">
                  <c:v>AER 3 SMC VALF GRUBU-1</c:v>
                </c:pt>
                <c:pt idx="132">
                  <c:v>AER 3 SMC VALF GRUBU-2</c:v>
                </c:pt>
                <c:pt idx="133">
                  <c:v>UV GRUBU</c:v>
                </c:pt>
                <c:pt idx="134">
                  <c:v>DSC MONTAJ OPERASYONU</c:v>
                </c:pt>
                <c:pt idx="135">
                  <c:v>DSC TEMİZLİK OPERASYONU</c:v>
                </c:pt>
                <c:pt idx="136">
                  <c:v>DSC PAKETLEME OPERASYONU</c:v>
                </c:pt>
                <c:pt idx="137">
                  <c:v>70X100 TANITIM PLAKASI</c:v>
                </c:pt>
                <c:pt idx="138">
                  <c:v>ASKI GRUBU</c:v>
                </c:pt>
                <c:pt idx="139">
                  <c:v>PLUG FAN GRUBU</c:v>
                </c:pt>
                <c:pt idx="140">
                  <c:v>GÜÇ KABLOSU GRUBU</c:v>
                </c:pt>
                <c:pt idx="141">
                  <c:v>5 L PASLANMAZ HAVA TANK GRUBU</c:v>
                </c:pt>
                <c:pt idx="142">
                  <c:v>SELENOİD KİLİT GRUBU</c:v>
                </c:pt>
                <c:pt idx="143">
                  <c:v>DSC KOMPRESÖR GRUBU 50HZ</c:v>
                </c:pt>
                <c:pt idx="144">
                  <c:v>DSC KOMPRESÖR BASINÇ ŞALTER GRUBU</c:v>
                </c:pt>
                <c:pt idx="145">
                  <c:v>DSC KOMPRESÖR VOLTAJ KORUMALI VALF GRUBU</c:v>
                </c:pt>
                <c:pt idx="146">
                  <c:v>PTFE FİLTRE GRUBU</c:v>
                </c:pt>
                <c:pt idx="147">
                  <c:v>REGÜLATÖR GRUBU</c:v>
                </c:pt>
                <c:pt idx="148">
                  <c:v>RULMAN GRUBU</c:v>
                </c:pt>
                <c:pt idx="149">
                  <c:v>Y APARAT GRUBU</c:v>
                </c:pt>
                <c:pt idx="150">
                  <c:v>SMC SELENOİD GRUBU</c:v>
                </c:pt>
                <c:pt idx="151">
                  <c:v>STEP MOTOR GRUBU</c:v>
                </c:pt>
                <c:pt idx="152">
                  <c:v>SLIP RING GRUBU</c:v>
                </c:pt>
                <c:pt idx="153">
                  <c:v>MAKDA9004-01 - MONTAJ OPERASYONU</c:v>
                </c:pt>
                <c:pt idx="154">
                  <c:v>MAKDA9004-01 - TEMİZLİK OPERASYONU</c:v>
                </c:pt>
                <c:pt idx="155">
                  <c:v>MAKDA9004-01 - PAKETLEME OPERASYONU</c:v>
                </c:pt>
                <c:pt idx="156">
                  <c:v>BAŞLIK GRUBU</c:v>
                </c:pt>
                <c:pt idx="157">
                  <c:v>50X70 TANITIM PLAKASI</c:v>
                </c:pt>
                <c:pt idx="158">
                  <c:v>DETROAIR SPREY BAŞLIK YUVA GRUBU</c:v>
                </c:pt>
                <c:pt idx="159">
                  <c:v>DETROAIR SPREY KASA MONTAJ GRUBU</c:v>
                </c:pt>
                <c:pt idx="160">
                  <c:v>DETROAIR SPREY MOTOR GRUBU</c:v>
                </c:pt>
                <c:pt idx="161">
                  <c:v>DETROAIR SPREY ÖN PANEL GRUBU</c:v>
                </c:pt>
              </c:strCache>
            </c:strRef>
          </c:cat>
          <c:val>
            <c:numRef>
              <c:f>'Grafik Verileri'!$B$2:$B$163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E-4A6B-972B-E7D050F815D0}"/>
            </c:ext>
          </c:extLst>
        </c:ser>
        <c:ser>
          <c:idx val="1"/>
          <c:order val="1"/>
          <c:tx>
            <c:strRef>
              <c:f>'Grafik Verileri'!$C$1</c:f>
              <c:strCache>
                <c:ptCount val="1"/>
                <c:pt idx="0">
                  <c:v>PERSONEL GERÇEKLEŞEN PUANI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'Grafik Verileri'!$C$2:$C$163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1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3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3</c:v>
                </c:pt>
                <c:pt idx="54">
                  <c:v>5</c:v>
                </c:pt>
                <c:pt idx="55">
                  <c:v>2</c:v>
                </c:pt>
                <c:pt idx="56">
                  <c:v>5</c:v>
                </c:pt>
                <c:pt idx="57">
                  <c:v>3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3</c:v>
                </c:pt>
                <c:pt idx="77">
                  <c:v>5</c:v>
                </c:pt>
                <c:pt idx="78">
                  <c:v>2</c:v>
                </c:pt>
                <c:pt idx="79">
                  <c:v>2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2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5</c:v>
                </c:pt>
                <c:pt idx="89">
                  <c:v>5</c:v>
                </c:pt>
                <c:pt idx="90">
                  <c:v>3</c:v>
                </c:pt>
                <c:pt idx="91">
                  <c:v>3</c:v>
                </c:pt>
                <c:pt idx="92">
                  <c:v>5</c:v>
                </c:pt>
                <c:pt idx="93">
                  <c:v>5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1</c:v>
                </c:pt>
                <c:pt idx="101">
                  <c:v>5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3</c:v>
                </c:pt>
                <c:pt idx="111">
                  <c:v>1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3</c:v>
                </c:pt>
                <c:pt idx="120">
                  <c:v>3</c:v>
                </c:pt>
                <c:pt idx="121">
                  <c:v>5</c:v>
                </c:pt>
                <c:pt idx="122">
                  <c:v>5</c:v>
                </c:pt>
                <c:pt idx="123">
                  <c:v>3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2</c:v>
                </c:pt>
                <c:pt idx="128">
                  <c:v>2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3</c:v>
                </c:pt>
                <c:pt idx="138">
                  <c:v>2</c:v>
                </c:pt>
                <c:pt idx="139">
                  <c:v>5</c:v>
                </c:pt>
                <c:pt idx="140">
                  <c:v>5</c:v>
                </c:pt>
                <c:pt idx="141">
                  <c:v>2</c:v>
                </c:pt>
                <c:pt idx="142">
                  <c:v>5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5</c:v>
                </c:pt>
                <c:pt idx="147">
                  <c:v>5</c:v>
                </c:pt>
                <c:pt idx="148">
                  <c:v>3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5</c:v>
                </c:pt>
                <c:pt idx="157">
                  <c:v>1</c:v>
                </c:pt>
                <c:pt idx="158">
                  <c:v>5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E-4A6B-972B-E7D050F815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08978047"/>
        <c:axId val="408970847"/>
      </c:barChart>
      <c:catAx>
        <c:axId val="408978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8970847"/>
        <c:crosses val="autoZero"/>
        <c:auto val="1"/>
        <c:lblAlgn val="ctr"/>
        <c:lblOffset val="100"/>
        <c:noMultiLvlLbl val="0"/>
      </c:catAx>
      <c:valAx>
        <c:axId val="4089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897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800" b="1">
                <a:solidFill>
                  <a:sysClr val="windowText" lastClr="000000"/>
                </a:solidFill>
              </a:rPr>
              <a:t>PERSONEL OPERASYONEL ANALİZ GRAFİĞİ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Verileri'!$B$1</c:f>
              <c:strCache>
                <c:ptCount val="1"/>
                <c:pt idx="0">
                  <c:v>PERSONEL HEDEF PUANI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'Grafik Verileri'!$A$2:$A$163</c:f>
              <c:strCache>
                <c:ptCount val="162"/>
                <c:pt idx="0">
                  <c:v>AER-1 MONTAJ HATTI 1</c:v>
                </c:pt>
                <c:pt idx="1">
                  <c:v>AER-1 MONTAJ HATTI 2</c:v>
                </c:pt>
                <c:pt idx="2">
                  <c:v>AER-1 MONTAJ HATTI 3</c:v>
                </c:pt>
                <c:pt idx="3">
                  <c:v>AER-1 MONTAJ HATTI 4</c:v>
                </c:pt>
                <c:pt idx="4">
                  <c:v>AER-1 5 YIKAMA HAZIRLIK</c:v>
                </c:pt>
                <c:pt idx="5">
                  <c:v>AER-1 YIKAMA HATTI REWORK</c:v>
                </c:pt>
                <c:pt idx="6">
                  <c:v>AER-1 TEMİZLİK HATTI</c:v>
                </c:pt>
                <c:pt idx="7">
                  <c:v>AER-1 PAKET ÖNCESİ HAZIRLIK</c:v>
                </c:pt>
                <c:pt idx="8">
                  <c:v>AER-1 PAKETLEME OPERASYONU</c:v>
                </c:pt>
                <c:pt idx="9">
                  <c:v>CPC ERKEK 90°</c:v>
                </c:pt>
                <c:pt idx="10">
                  <c:v>DIŞ FİLTRE GRUBU</c:v>
                </c:pt>
                <c:pt idx="11">
                  <c:v>CPC DAĞITICI-ÇİFT SKOP GRUBU</c:v>
                </c:pt>
                <c:pt idx="12">
                  <c:v>NOZZLE DAĞITICI GRUBU</c:v>
                </c:pt>
                <c:pt idx="13">
                  <c:v>DOLUM KAPAK GRUBU-ALKOL</c:v>
                </c:pt>
                <c:pt idx="14">
                  <c:v>DOLUM KAPAK GRUBU-ENZIMATIK</c:v>
                </c:pt>
                <c:pt idx="15">
                  <c:v>DOLUM KAPAK GRUBU-KONSANTRE</c:v>
                </c:pt>
                <c:pt idx="16">
                  <c:v>5 L KONS. DEZ. DEPO GRUBU</c:v>
                </c:pt>
                <c:pt idx="17">
                  <c:v>5 L ENZİM DEPO GRUBU</c:v>
                </c:pt>
                <c:pt idx="18">
                  <c:v>5 L ALKOL DEPO GRUBU</c:v>
                </c:pt>
                <c:pt idx="19">
                  <c:v>15 L ATIK DEPO GRUBU</c:v>
                </c:pt>
                <c:pt idx="20">
                  <c:v>15 L DEZENFEKTAN DEPO GRUBU</c:v>
                </c:pt>
                <c:pt idx="21">
                  <c:v>15 L TEMİZ SU DEPO GRUBU</c:v>
                </c:pt>
                <c:pt idx="22">
                  <c:v>15 L PASLANMAZ DEPO GRUBU</c:v>
                </c:pt>
                <c:pt idx="23">
                  <c:v>DOZAJ POMPA GRUBU 7 L</c:v>
                </c:pt>
                <c:pt idx="24">
                  <c:v>70X100 TANITIM PLAKASI</c:v>
                </c:pt>
                <c:pt idx="25">
                  <c:v>GİRDAP ÖNLEYİCİ</c:v>
                </c:pt>
                <c:pt idx="26">
                  <c:v>EVYE-ÇİFT SKOP, ÇİFT TANK GRUBU</c:v>
                </c:pt>
                <c:pt idx="27">
                  <c:v>SELENOİD TEL FİLTRE GRUBU</c:v>
                </c:pt>
                <c:pt idx="28">
                  <c:v>EVYE GİDER GRUBU</c:v>
                </c:pt>
                <c:pt idx="29">
                  <c:v>KABLO SETİ-İLETİŞİM-USB KABLO GRUBU</c:v>
                </c:pt>
                <c:pt idx="30">
                  <c:v>OLF 100AF KOMPRESÖR GRUBU </c:v>
                </c:pt>
                <c:pt idx="31">
                  <c:v>AER 1 KOMPRESÖR SELENOİD VALF GRUBU</c:v>
                </c:pt>
                <c:pt idx="32">
                  <c:v>KAPAK GRUBU KİLİTSİZ MODEL</c:v>
                </c:pt>
                <c:pt idx="33">
                  <c:v>15 L DEZENFEKTAN DEPO KAPAK GRUBU</c:v>
                </c:pt>
                <c:pt idx="34">
                  <c:v>15 L ATIK DEPO KAPAK GRUBU</c:v>
                </c:pt>
                <c:pt idx="35">
                  <c:v>15 L TEMİZ SU DEPO+UV KAPAK GRUBU</c:v>
                </c:pt>
                <c:pt idx="36">
                  <c:v>5 L DEPO KAPAK GRUBU</c:v>
                </c:pt>
                <c:pt idx="37">
                  <c:v>15 L PASLANMAZ DEPO KAPAK GRUBU</c:v>
                </c:pt>
                <c:pt idx="38">
                  <c:v>AER 1 ÜST KAPAK ARKA MENTEŞE GRUBU</c:v>
                </c:pt>
                <c:pt idx="39">
                  <c:v>MANOMETRE GRUBU</c:v>
                </c:pt>
                <c:pt idx="40">
                  <c:v>OIL-LESS KAÇAK TEST MOTOR GRUBU</c:v>
                </c:pt>
                <c:pt idx="41">
                  <c:v>ALT SENSÖR GRUBU</c:v>
                </c:pt>
                <c:pt idx="42">
                  <c:v>ATIK MOTOR GRUBU</c:v>
                </c:pt>
                <c:pt idx="43">
                  <c:v>DEZENFEKTAN MOTOR GRUBU</c:v>
                </c:pt>
                <c:pt idx="44">
                  <c:v>TEMİZ SU MOTOR GRUBU</c:v>
                </c:pt>
                <c:pt idx="45">
                  <c:v>SİRKÜLASYON POMPASI GRUBU</c:v>
                </c:pt>
                <c:pt idx="46">
                  <c:v>OSB PAKETLEME</c:v>
                </c:pt>
                <c:pt idx="47">
                  <c:v>ATIK MOTOR ÇIKIŞ REKOR GRUBU</c:v>
                </c:pt>
                <c:pt idx="48">
                  <c:v>5 L ENZİM DEPO REKOR GRUBU</c:v>
                </c:pt>
                <c:pt idx="49">
                  <c:v>5 L ALKOL DEPO REKOR GRUBU</c:v>
                </c:pt>
                <c:pt idx="50">
                  <c:v>5 L KONS. DEZ. DEPO REKOR GRUBU</c:v>
                </c:pt>
                <c:pt idx="51">
                  <c:v>EVYE DEZENFEKTAN DEPO REKOR GRUBU</c:v>
                </c:pt>
                <c:pt idx="52">
                  <c:v>EVYE TEMİZ DEPO REKOR GRUBU</c:v>
                </c:pt>
                <c:pt idx="53">
                  <c:v>OTO KAÇAK CPC GRUBU</c:v>
                </c:pt>
                <c:pt idx="54">
                  <c:v>HAVA ÇEK-VALFİ</c:v>
                </c:pt>
                <c:pt idx="55">
                  <c:v>1/2 DİK ÇEK-VALF</c:v>
                </c:pt>
                <c:pt idx="56">
                  <c:v>SELENOİD GRUBU-ÇİFT SKOP ÇİFT TANK</c:v>
                </c:pt>
                <c:pt idx="57">
                  <c:v>EVYE İÇİ PAKET-ÇİFT SCOP</c:v>
                </c:pt>
                <c:pt idx="58">
                  <c:v>SU GİRİŞ VENTİLİ GRUBU</c:v>
                </c:pt>
                <c:pt idx="59">
                  <c:v>TAHLİYE VANA GRUBU PASLANMAZ</c:v>
                </c:pt>
                <c:pt idx="60">
                  <c:v>AER 1 SMC VALF GRUBU</c:v>
                </c:pt>
                <c:pt idx="61">
                  <c:v>UV LAMBA KÜP DUY GRUBU</c:v>
                </c:pt>
                <c:pt idx="62">
                  <c:v>ÜST SENSÖR GRUBU</c:v>
                </c:pt>
                <c:pt idx="63">
                  <c:v>AER-3 MONTAJ HATTI 1</c:v>
                </c:pt>
                <c:pt idx="64">
                  <c:v>AER-3 MONTAJ HATTI 2</c:v>
                </c:pt>
                <c:pt idx="65">
                  <c:v>AER-3 MONTAJ HATTI 3</c:v>
                </c:pt>
                <c:pt idx="66">
                  <c:v>AER-3 MONTAJ HATTI 4</c:v>
                </c:pt>
                <c:pt idx="67">
                  <c:v>AER-3 5 YIKAMA HAZIRLIK</c:v>
                </c:pt>
                <c:pt idx="68">
                  <c:v>AER-3 YIKAMA HATTI REWORK</c:v>
                </c:pt>
                <c:pt idx="69">
                  <c:v>AER-3 TEMİZLİK HATTI</c:v>
                </c:pt>
                <c:pt idx="70">
                  <c:v>AER-3 PAKET ÖNCESİ HAZIRLIK</c:v>
                </c:pt>
                <c:pt idx="71">
                  <c:v>AER-3 PAKETLEME OPERASYONU</c:v>
                </c:pt>
                <c:pt idx="72">
                  <c:v>AER 3 EVYE İÇİ PAKET-ÇİFT SKOP</c:v>
                </c:pt>
                <c:pt idx="73">
                  <c:v>TEKLİ AKIŞ SENSÖR GRUBU-ENZİM ALKOL</c:v>
                </c:pt>
                <c:pt idx="74">
                  <c:v>TEKLİ AKIŞ SENSÖR GRUBU-KONSANTRE</c:v>
                </c:pt>
                <c:pt idx="75">
                  <c:v>HOUSING GRUBU</c:v>
                </c:pt>
                <c:pt idx="76">
                  <c:v>AER 3 CPC DAĞITICI-ÇİFT SKOP GRUBU</c:v>
                </c:pt>
                <c:pt idx="77">
                  <c:v>AER 3 NOZZLE DAĞITICI GRUBU</c:v>
                </c:pt>
                <c:pt idx="78">
                  <c:v>15 L DEZENFEKTAN DEPO GRUBU</c:v>
                </c:pt>
                <c:pt idx="79">
                  <c:v>2 L ATIK TANKI GRUBU</c:v>
                </c:pt>
                <c:pt idx="80">
                  <c:v>ATIK KOLLEKTÖR GRUBU</c:v>
                </c:pt>
                <c:pt idx="81">
                  <c:v>DOZAJ POMPA GRUBU-ENZİM ALKOL</c:v>
                </c:pt>
                <c:pt idx="82">
                  <c:v>DOZAJ POMPA GRUBU-KONSANTRE</c:v>
                </c:pt>
                <c:pt idx="83">
                  <c:v>DETROWASH AER 3 DOZAJ GRUBU</c:v>
                </c:pt>
                <c:pt idx="84">
                  <c:v>70X100 TANITIM PLAKASI</c:v>
                </c:pt>
                <c:pt idx="85">
                  <c:v>GRAFİK EKRAN EVYE GRUBU-ÇİFT SKOP</c:v>
                </c:pt>
                <c:pt idx="86">
                  <c:v>SEPET</c:v>
                </c:pt>
                <c:pt idx="87">
                  <c:v>EVYE HAVA FİLTRESİ-ORTA </c:v>
                </c:pt>
                <c:pt idx="88">
                  <c:v>5 L PASLANMAZ HAVA TANK GRUBU</c:v>
                </c:pt>
                <c:pt idx="89">
                  <c:v>24V GÜÇ KABLOSU GRUBU</c:v>
                </c:pt>
                <c:pt idx="90">
                  <c:v>OTO KAÇAK TEST GRUBU-ÇİFT SKOP</c:v>
                </c:pt>
                <c:pt idx="91">
                  <c:v>BASINÇ TRANSMİTTER GRUBU</c:v>
                </c:pt>
                <c:pt idx="92">
                  <c:v>OTO KAÇAK 2/2 SELENOİD VALF GRUBU</c:v>
                </c:pt>
                <c:pt idx="93">
                  <c:v>OTO KAÇAK 3/2 BOBİNLİ VALF GRUBU - ÇİFT SKOP</c:v>
                </c:pt>
                <c:pt idx="94">
                  <c:v>DW AER 3 KOMPRESÖR GRUBU 50 HZ</c:v>
                </c:pt>
                <c:pt idx="95">
                  <c:v>AER 3 KOMPRESÖR BASINÇ ŞALTER GRUBU</c:v>
                </c:pt>
                <c:pt idx="96">
                  <c:v>AER 3 KOMPRESÖR VOLTAJ KORUMALI VALF GRUBU</c:v>
                </c:pt>
                <c:pt idx="97">
                  <c:v>ENZİM-ALKOL BİDON KAPAK GRUBU</c:v>
                </c:pt>
                <c:pt idx="98">
                  <c:v>15 L DEZENFEKTAN DEPO KAPAK GRUBU</c:v>
                </c:pt>
                <c:pt idx="99">
                  <c:v>2 L ATIK TANKI KAPAK GRUBU</c:v>
                </c:pt>
                <c:pt idx="100">
                  <c:v>ÜST KAPAK GRUBU</c:v>
                </c:pt>
                <c:pt idx="101">
                  <c:v>TAŞMA SENSÖR GRUBU</c:v>
                </c:pt>
                <c:pt idx="102">
                  <c:v>2 L ATIK DEPO ALT SENSÖR UZATMA</c:v>
                </c:pt>
                <c:pt idx="103">
                  <c:v>MANYETİK ALGILAYICI GRUBU</c:v>
                </c:pt>
                <c:pt idx="104">
                  <c:v>AER 3 15 L DEZENFEKTAN DEPO MOTOR GRUBU</c:v>
                </c:pt>
                <c:pt idx="105">
                  <c:v>AER 3 2 L ATIK TANK MOTOR GRUBU</c:v>
                </c:pt>
                <c:pt idx="106">
                  <c:v>AER 3 EVYE MUSLUK GRUBU</c:v>
                </c:pt>
                <c:pt idx="107">
                  <c:v>AER 3 EVYE NOZZLE GRUBU</c:v>
                </c:pt>
                <c:pt idx="108">
                  <c:v>AER 3 EVYE SENSÖR GRUBU</c:v>
                </c:pt>
                <c:pt idx="109">
                  <c:v>SİRKÜLASYON MOTOR GRUBU</c:v>
                </c:pt>
                <c:pt idx="110">
                  <c:v>MİKSAN MOTOR 90° ÇIKIŞ REKOR GRUBU</c:v>
                </c:pt>
                <c:pt idx="111">
                  <c:v>BARKOD TUTUCU</c:v>
                </c:pt>
                <c:pt idx="112">
                  <c:v>REGÜLATÖR GRUBU</c:v>
                </c:pt>
                <c:pt idx="113">
                  <c:v>KANAL HAVA SELENOİD GRUBU</c:v>
                </c:pt>
                <c:pt idx="114">
                  <c:v>KANAL HAVA REGÜLATÖR GRUBU</c:v>
                </c:pt>
                <c:pt idx="115">
                  <c:v>OTO KAÇAK HAVA REGÜLATÖR GRUBU</c:v>
                </c:pt>
                <c:pt idx="116">
                  <c:v>KAPAK VALF GRUBU</c:v>
                </c:pt>
                <c:pt idx="117">
                  <c:v>HAVA TABANCASI GRUBU</c:v>
                </c:pt>
                <c:pt idx="118">
                  <c:v>PİSTON GRUBU</c:v>
                </c:pt>
                <c:pt idx="119">
                  <c:v>3 YOLLU PNÖMATİK VANA GRUBU</c:v>
                </c:pt>
                <c:pt idx="120">
                  <c:v>ATIK ÇEK-VALFİ</c:v>
                </c:pt>
                <c:pt idx="121">
                  <c:v>KONSANTRE ÇEK-VALFİ</c:v>
                </c:pt>
                <c:pt idx="122">
                  <c:v>KONSANTRE HAVA ÇEK-VALFİ</c:v>
                </c:pt>
                <c:pt idx="123">
                  <c:v>OTO KAÇAK CPC GRUBU</c:v>
                </c:pt>
                <c:pt idx="124">
                  <c:v>HAVA ÇEK-VALFİ</c:v>
                </c:pt>
                <c:pt idx="125">
                  <c:v>1/2"X20 REKORLU ÇALPARA PASLANMAZ </c:v>
                </c:pt>
                <c:pt idx="126">
                  <c:v>1/2"X14 REKORLU ÇALPARA PASLANMAZ </c:v>
                </c:pt>
                <c:pt idx="127">
                  <c:v>SELENOİD GRUBU-KULLANIMA HAZIR+KONSANTRE</c:v>
                </c:pt>
                <c:pt idx="128">
                  <c:v>DEZENFEKTAN DEPO SELENOİD GRUBU-2 ÇIKIŞLI</c:v>
                </c:pt>
                <c:pt idx="129">
                  <c:v>SEPET GRUBU</c:v>
                </c:pt>
                <c:pt idx="130">
                  <c:v>TEMASSIZ SIVI SEVİYE SENSÖR GRUBU</c:v>
                </c:pt>
                <c:pt idx="131">
                  <c:v>AER 3 SMC VALF GRUBU-1</c:v>
                </c:pt>
                <c:pt idx="132">
                  <c:v>AER 3 SMC VALF GRUBU-2</c:v>
                </c:pt>
                <c:pt idx="133">
                  <c:v>UV GRUBU</c:v>
                </c:pt>
                <c:pt idx="134">
                  <c:v>DSC MONTAJ OPERASYONU</c:v>
                </c:pt>
                <c:pt idx="135">
                  <c:v>DSC TEMİZLİK OPERASYONU</c:v>
                </c:pt>
                <c:pt idx="136">
                  <c:v>DSC PAKETLEME OPERASYONU</c:v>
                </c:pt>
                <c:pt idx="137">
                  <c:v>70X100 TANITIM PLAKASI</c:v>
                </c:pt>
                <c:pt idx="138">
                  <c:v>ASKI GRUBU</c:v>
                </c:pt>
                <c:pt idx="139">
                  <c:v>PLUG FAN GRUBU</c:v>
                </c:pt>
                <c:pt idx="140">
                  <c:v>GÜÇ KABLOSU GRUBU</c:v>
                </c:pt>
                <c:pt idx="141">
                  <c:v>5 L PASLANMAZ HAVA TANK GRUBU</c:v>
                </c:pt>
                <c:pt idx="142">
                  <c:v>SELENOİD KİLİT GRUBU</c:v>
                </c:pt>
                <c:pt idx="143">
                  <c:v>DSC KOMPRESÖR GRUBU 50HZ</c:v>
                </c:pt>
                <c:pt idx="144">
                  <c:v>DSC KOMPRESÖR BASINÇ ŞALTER GRUBU</c:v>
                </c:pt>
                <c:pt idx="145">
                  <c:v>DSC KOMPRESÖR VOLTAJ KORUMALI VALF GRUBU</c:v>
                </c:pt>
                <c:pt idx="146">
                  <c:v>PTFE FİLTRE GRUBU</c:v>
                </c:pt>
                <c:pt idx="147">
                  <c:v>REGÜLATÖR GRUBU</c:v>
                </c:pt>
                <c:pt idx="148">
                  <c:v>RULMAN GRUBU</c:v>
                </c:pt>
                <c:pt idx="149">
                  <c:v>Y APARAT GRUBU</c:v>
                </c:pt>
                <c:pt idx="150">
                  <c:v>SMC SELENOİD GRUBU</c:v>
                </c:pt>
                <c:pt idx="151">
                  <c:v>STEP MOTOR GRUBU</c:v>
                </c:pt>
                <c:pt idx="152">
                  <c:v>SLIP RING GRUBU</c:v>
                </c:pt>
                <c:pt idx="153">
                  <c:v>MAKDA9004-01 - MONTAJ OPERASYONU</c:v>
                </c:pt>
                <c:pt idx="154">
                  <c:v>MAKDA9004-01 - TEMİZLİK OPERASYONU</c:v>
                </c:pt>
                <c:pt idx="155">
                  <c:v>MAKDA9004-01 - PAKETLEME OPERASYONU</c:v>
                </c:pt>
                <c:pt idx="156">
                  <c:v>BAŞLIK GRUBU</c:v>
                </c:pt>
                <c:pt idx="157">
                  <c:v>50X70 TANITIM PLAKASI</c:v>
                </c:pt>
                <c:pt idx="158">
                  <c:v>DETROAIR SPREY BAŞLIK YUVA GRUBU</c:v>
                </c:pt>
                <c:pt idx="159">
                  <c:v>DETROAIR SPREY KASA MONTAJ GRUBU</c:v>
                </c:pt>
                <c:pt idx="160">
                  <c:v>DETROAIR SPREY MOTOR GRUBU</c:v>
                </c:pt>
                <c:pt idx="161">
                  <c:v>DETROAIR SPREY ÖN PANEL GRUBU</c:v>
                </c:pt>
              </c:strCache>
            </c:strRef>
          </c:cat>
          <c:val>
            <c:numRef>
              <c:f>'Grafik Verileri'!$B$2:$B$163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9-4131-B5B8-001B69B3C4EF}"/>
            </c:ext>
          </c:extLst>
        </c:ser>
        <c:ser>
          <c:idx val="1"/>
          <c:order val="1"/>
          <c:tx>
            <c:strRef>
              <c:f>'Grafik Verileri'!$C$1</c:f>
              <c:strCache>
                <c:ptCount val="1"/>
                <c:pt idx="0">
                  <c:v>PERSONEL GERÇEKLEŞEN PUANI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'Grafik Verileri'!$C$2:$C$163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1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3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3</c:v>
                </c:pt>
                <c:pt idx="54">
                  <c:v>5</c:v>
                </c:pt>
                <c:pt idx="55">
                  <c:v>2</c:v>
                </c:pt>
                <c:pt idx="56">
                  <c:v>5</c:v>
                </c:pt>
                <c:pt idx="57">
                  <c:v>3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3</c:v>
                </c:pt>
                <c:pt idx="77">
                  <c:v>5</c:v>
                </c:pt>
                <c:pt idx="78">
                  <c:v>2</c:v>
                </c:pt>
                <c:pt idx="79">
                  <c:v>2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2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5</c:v>
                </c:pt>
                <c:pt idx="89">
                  <c:v>5</c:v>
                </c:pt>
                <c:pt idx="90">
                  <c:v>3</c:v>
                </c:pt>
                <c:pt idx="91">
                  <c:v>3</c:v>
                </c:pt>
                <c:pt idx="92">
                  <c:v>5</c:v>
                </c:pt>
                <c:pt idx="93">
                  <c:v>5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1</c:v>
                </c:pt>
                <c:pt idx="101">
                  <c:v>5</c:v>
                </c:pt>
                <c:pt idx="102">
                  <c:v>5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3</c:v>
                </c:pt>
                <c:pt idx="111">
                  <c:v>1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3</c:v>
                </c:pt>
                <c:pt idx="120">
                  <c:v>3</c:v>
                </c:pt>
                <c:pt idx="121">
                  <c:v>5</c:v>
                </c:pt>
                <c:pt idx="122">
                  <c:v>5</c:v>
                </c:pt>
                <c:pt idx="123">
                  <c:v>3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2</c:v>
                </c:pt>
                <c:pt idx="128">
                  <c:v>2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3</c:v>
                </c:pt>
                <c:pt idx="138">
                  <c:v>2</c:v>
                </c:pt>
                <c:pt idx="139">
                  <c:v>5</c:v>
                </c:pt>
                <c:pt idx="140">
                  <c:v>5</c:v>
                </c:pt>
                <c:pt idx="141">
                  <c:v>2</c:v>
                </c:pt>
                <c:pt idx="142">
                  <c:v>5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5</c:v>
                </c:pt>
                <c:pt idx="147">
                  <c:v>5</c:v>
                </c:pt>
                <c:pt idx="148">
                  <c:v>3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5</c:v>
                </c:pt>
                <c:pt idx="157">
                  <c:v>1</c:v>
                </c:pt>
                <c:pt idx="158">
                  <c:v>5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7-44FC-B33E-80AD845DD8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08978047"/>
        <c:axId val="408970847"/>
      </c:barChart>
      <c:catAx>
        <c:axId val="408978047"/>
        <c:scaling>
          <c:orientation val="minMax"/>
        </c:scaling>
        <c:delete val="0"/>
        <c:axPos val="l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8970847"/>
        <c:crosses val="autoZero"/>
        <c:auto val="0"/>
        <c:lblAlgn val="ctr"/>
        <c:lblOffset val="100"/>
        <c:noMultiLvlLbl val="0"/>
      </c:catAx>
      <c:valAx>
        <c:axId val="4089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8978047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Men&#252; Se&#231;enekleri'!A1"/><Relationship Id="rId2" Type="http://schemas.openxmlformats.org/officeDocument/2006/relationships/hyperlink" Target="#Grafik!A1"/><Relationship Id="rId1" Type="http://schemas.openxmlformats.org/officeDocument/2006/relationships/chart" Target="../charts/chart1.xml"/><Relationship Id="rId5" Type="http://schemas.openxmlformats.org/officeDocument/2006/relationships/hyperlink" Target="#'T&#252;m Operasyonlar'!A1"/><Relationship Id="rId4" Type="http://schemas.openxmlformats.org/officeDocument/2006/relationships/hyperlink" Target="#'De&#287;er Matrisleri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e&#287;er Matrisleri'!A1"/><Relationship Id="rId2" Type="http://schemas.openxmlformats.org/officeDocument/2006/relationships/hyperlink" Target="#'Men&#252; Se&#231;enekleri'!A1"/><Relationship Id="rId1" Type="http://schemas.openxmlformats.org/officeDocument/2006/relationships/hyperlink" Target="#Grafik!A1"/><Relationship Id="rId4" Type="http://schemas.openxmlformats.org/officeDocument/2006/relationships/hyperlink" Target="#'T&#252;m Operasyonlar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De&#287;er Matrisleri'!A1"/><Relationship Id="rId2" Type="http://schemas.openxmlformats.org/officeDocument/2006/relationships/hyperlink" Target="#'Men&#252; Se&#231;enekleri'!A1"/><Relationship Id="rId1" Type="http://schemas.openxmlformats.org/officeDocument/2006/relationships/hyperlink" Target="#Grafik!A1"/><Relationship Id="rId4" Type="http://schemas.openxmlformats.org/officeDocument/2006/relationships/hyperlink" Target="#'T&#252;m Operasyonlar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De&#287;er Matrisleri'!A1"/><Relationship Id="rId2" Type="http://schemas.openxmlformats.org/officeDocument/2006/relationships/hyperlink" Target="#'Men&#252; Se&#231;enekleri'!A1"/><Relationship Id="rId1" Type="http://schemas.openxmlformats.org/officeDocument/2006/relationships/hyperlink" Target="#Grafik!A1"/><Relationship Id="rId4" Type="http://schemas.openxmlformats.org/officeDocument/2006/relationships/hyperlink" Target="#'T&#252;m Operasyonlar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277906</xdr:colOff>
      <xdr:row>8</xdr:row>
      <xdr:rowOff>152400</xdr:rowOff>
    </xdr:from>
    <xdr:to>
      <xdr:col>9</xdr:col>
      <xdr:colOff>112643</xdr:colOff>
      <xdr:row>174</xdr:row>
      <xdr:rowOff>6338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1B95994C-32B0-4061-BEB8-D63DF51F6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3</xdr:col>
      <xdr:colOff>109497</xdr:colOff>
      <xdr:row>1</xdr:row>
      <xdr:rowOff>242688</xdr:rowOff>
    </xdr:to>
    <xdr:sp macro="" textlink="">
      <xdr:nvSpPr>
        <xdr:cNvPr id="6" name="Dikdörtgen: Köşeleri Yuvarlatılmış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A6DCFD-5B4B-4A2F-9DEF-6A2671055C71}"/>
            </a:ext>
          </a:extLst>
        </xdr:cNvPr>
        <xdr:cNvSpPr/>
      </xdr:nvSpPr>
      <xdr:spPr>
        <a:xfrm>
          <a:off x="0" y="0"/>
          <a:ext cx="1938297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GRAFİK</a:t>
          </a:r>
        </a:p>
      </xdr:txBody>
    </xdr:sp>
    <xdr:clientData/>
  </xdr:twoCellAnchor>
  <xdr:twoCellAnchor>
    <xdr:from>
      <xdr:col>4</xdr:col>
      <xdr:colOff>557733</xdr:colOff>
      <xdr:row>0</xdr:row>
      <xdr:rowOff>26894</xdr:rowOff>
    </xdr:from>
    <xdr:to>
      <xdr:col>8</xdr:col>
      <xdr:colOff>55710</xdr:colOff>
      <xdr:row>1</xdr:row>
      <xdr:rowOff>269582</xdr:rowOff>
    </xdr:to>
    <xdr:sp macro="" textlink="">
      <xdr:nvSpPr>
        <xdr:cNvPr id="10" name="Dikdörtgen: Köşeleri Yuvarlatılmış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C62547-60FB-480B-9DF7-FB255FB62DAE}"/>
            </a:ext>
          </a:extLst>
        </xdr:cNvPr>
        <xdr:cNvSpPr/>
      </xdr:nvSpPr>
      <xdr:spPr>
        <a:xfrm>
          <a:off x="2996133" y="26894"/>
          <a:ext cx="1936377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solidFill>
                <a:schemeClr val="lt1"/>
              </a:solidFill>
              <a:latin typeface="+mn-lt"/>
              <a:ea typeface="+mn-ea"/>
              <a:cs typeface="+mn-cs"/>
            </a:rPr>
            <a:t>SEÇENEKLER</a:t>
          </a:r>
        </a:p>
      </xdr:txBody>
    </xdr:sp>
    <xdr:clientData/>
  </xdr:twoCellAnchor>
  <xdr:twoCellAnchor>
    <xdr:from>
      <xdr:col>16</xdr:col>
      <xdr:colOff>475129</xdr:colOff>
      <xdr:row>0</xdr:row>
      <xdr:rowOff>62753</xdr:rowOff>
    </xdr:from>
    <xdr:to>
      <xdr:col>19</xdr:col>
      <xdr:colOff>575023</xdr:colOff>
      <xdr:row>2</xdr:row>
      <xdr:rowOff>27535</xdr:rowOff>
    </xdr:to>
    <xdr:sp macro="" textlink="">
      <xdr:nvSpPr>
        <xdr:cNvPr id="15" name="Dikdörtgen: Köşeleri Yuvarlatılmış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7ABCD0-7131-41A7-B70B-F62F7B92DE0B}"/>
            </a:ext>
          </a:extLst>
        </xdr:cNvPr>
        <xdr:cNvSpPr/>
      </xdr:nvSpPr>
      <xdr:spPr>
        <a:xfrm>
          <a:off x="11949953" y="62753"/>
          <a:ext cx="1928694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DEĞER</a:t>
          </a:r>
          <a:r>
            <a:rPr lang="tr-TR" sz="1100" b="1" baseline="0"/>
            <a:t> MATRİSLERİ</a:t>
          </a:r>
          <a:endParaRPr lang="tr-TR" sz="1100" b="1"/>
        </a:p>
      </xdr:txBody>
    </xdr:sp>
    <xdr:clientData/>
  </xdr:twoCellAnchor>
  <xdr:twoCellAnchor>
    <xdr:from>
      <xdr:col>20</xdr:col>
      <xdr:colOff>500101</xdr:colOff>
      <xdr:row>0</xdr:row>
      <xdr:rowOff>53788</xdr:rowOff>
    </xdr:from>
    <xdr:to>
      <xdr:col>23</xdr:col>
      <xdr:colOff>599995</xdr:colOff>
      <xdr:row>2</xdr:row>
      <xdr:rowOff>18570</xdr:rowOff>
    </xdr:to>
    <xdr:sp macro="" textlink="">
      <xdr:nvSpPr>
        <xdr:cNvPr id="16" name="Dikdörtgen: Köşeleri Yuvarlatılmış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CA0A8B-6082-4402-B456-FB9486EC3B64}"/>
            </a:ext>
          </a:extLst>
        </xdr:cNvPr>
        <xdr:cNvSpPr/>
      </xdr:nvSpPr>
      <xdr:spPr>
        <a:xfrm>
          <a:off x="14413325" y="53788"/>
          <a:ext cx="1928694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130629</xdr:colOff>
      <xdr:row>0</xdr:row>
      <xdr:rowOff>35981</xdr:rowOff>
    </xdr:from>
    <xdr:to>
      <xdr:col>2</xdr:col>
      <xdr:colOff>3797138</xdr:colOff>
      <xdr:row>160</xdr:row>
      <xdr:rowOff>32714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B89DC2-0BFB-37A4-070E-3FF1CA0FB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319047</xdr:colOff>
      <xdr:row>0</xdr:row>
      <xdr:rowOff>538523</xdr:rowOff>
    </xdr:to>
    <xdr:sp macro="" textlink="">
      <xdr:nvSpPr>
        <xdr:cNvPr id="5" name="Dikdörtgen: Köşeleri Yuvarlatılmış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E00013-1B2D-43C0-8D6C-63EBF6892343}"/>
            </a:ext>
          </a:extLst>
        </xdr:cNvPr>
        <xdr:cNvSpPr/>
      </xdr:nvSpPr>
      <xdr:spPr>
        <a:xfrm>
          <a:off x="0" y="0"/>
          <a:ext cx="1938297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GRAFİK</a:t>
          </a:r>
        </a:p>
      </xdr:txBody>
    </xdr:sp>
    <xdr:clientData/>
  </xdr:twoCellAnchor>
  <xdr:twoCellAnchor>
    <xdr:from>
      <xdr:col>2</xdr:col>
      <xdr:colOff>910718</xdr:colOff>
      <xdr:row>0</xdr:row>
      <xdr:rowOff>0</xdr:rowOff>
    </xdr:from>
    <xdr:to>
      <xdr:col>3</xdr:col>
      <xdr:colOff>1570745</xdr:colOff>
      <xdr:row>0</xdr:row>
      <xdr:rowOff>538523</xdr:rowOff>
    </xdr:to>
    <xdr:sp macro="" textlink="">
      <xdr:nvSpPr>
        <xdr:cNvPr id="6" name="Dikdörtgen: Köşeleri Yuvarlatılmış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1F60D5-85D0-46B1-B5E1-EE44570FFA6A}"/>
            </a:ext>
          </a:extLst>
        </xdr:cNvPr>
        <xdr:cNvSpPr/>
      </xdr:nvSpPr>
      <xdr:spPr>
        <a:xfrm>
          <a:off x="2529968" y="0"/>
          <a:ext cx="1936377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solidFill>
                <a:schemeClr val="lt1"/>
              </a:solidFill>
              <a:latin typeface="+mn-lt"/>
              <a:ea typeface="+mn-ea"/>
              <a:cs typeface="+mn-cs"/>
            </a:rPr>
            <a:t>SEÇENEKLER</a:t>
          </a:r>
        </a:p>
      </xdr:txBody>
    </xdr:sp>
    <xdr:clientData/>
  </xdr:twoCellAnchor>
  <xdr:twoCellAnchor>
    <xdr:from>
      <xdr:col>3</xdr:col>
      <xdr:colOff>2144486</xdr:colOff>
      <xdr:row>0</xdr:row>
      <xdr:rowOff>0</xdr:rowOff>
    </xdr:from>
    <xdr:to>
      <xdr:col>4</xdr:col>
      <xdr:colOff>301280</xdr:colOff>
      <xdr:row>0</xdr:row>
      <xdr:rowOff>538523</xdr:rowOff>
    </xdr:to>
    <xdr:sp macro="" textlink="">
      <xdr:nvSpPr>
        <xdr:cNvPr id="7" name="Dikdörtgen: Köşeleri Yuvarlatılmış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5B625D-985A-4A6D-B78F-EFF55A1821ED}"/>
            </a:ext>
          </a:extLst>
        </xdr:cNvPr>
        <xdr:cNvSpPr/>
      </xdr:nvSpPr>
      <xdr:spPr>
        <a:xfrm>
          <a:off x="5040086" y="0"/>
          <a:ext cx="1928694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DEĞER</a:t>
          </a:r>
          <a:r>
            <a:rPr lang="tr-TR" sz="1100" b="1" baseline="0"/>
            <a:t> MATRİSLERİ</a:t>
          </a:r>
          <a:endParaRPr lang="tr-TR" sz="1100" b="1"/>
        </a:p>
      </xdr:txBody>
    </xdr:sp>
    <xdr:clientData/>
  </xdr:twoCellAnchor>
  <xdr:twoCellAnchor>
    <xdr:from>
      <xdr:col>4</xdr:col>
      <xdr:colOff>907676</xdr:colOff>
      <xdr:row>0</xdr:row>
      <xdr:rowOff>0</xdr:rowOff>
    </xdr:from>
    <xdr:to>
      <xdr:col>6</xdr:col>
      <xdr:colOff>817070</xdr:colOff>
      <xdr:row>0</xdr:row>
      <xdr:rowOff>538523</xdr:rowOff>
    </xdr:to>
    <xdr:sp macro="" textlink="">
      <xdr:nvSpPr>
        <xdr:cNvPr id="8" name="Dikdörtgen: Köşeleri Yuvarlatılmış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087353-B326-4B6A-8006-AE1D39903676}"/>
            </a:ext>
          </a:extLst>
        </xdr:cNvPr>
        <xdr:cNvSpPr/>
      </xdr:nvSpPr>
      <xdr:spPr>
        <a:xfrm>
          <a:off x="7575176" y="0"/>
          <a:ext cx="1928694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DATA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270862</xdr:colOff>
      <xdr:row>3</xdr:row>
      <xdr:rowOff>641</xdr:rowOff>
    </xdr:to>
    <xdr:sp macro="" textlink="">
      <xdr:nvSpPr>
        <xdr:cNvPr id="2" name="Dikdörtgen: Köşeleri Yuvarlatılmış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E8F3C-6269-4F91-A1A0-28A505B32BBB}"/>
            </a:ext>
          </a:extLst>
        </xdr:cNvPr>
        <xdr:cNvSpPr/>
      </xdr:nvSpPr>
      <xdr:spPr>
        <a:xfrm>
          <a:off x="370114" y="0"/>
          <a:ext cx="1936377" cy="555812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GRAFİK</a:t>
          </a:r>
        </a:p>
      </xdr:txBody>
    </xdr:sp>
    <xdr:clientData/>
  </xdr:twoCellAnchor>
  <xdr:twoCellAnchor>
    <xdr:from>
      <xdr:col>4</xdr:col>
      <xdr:colOff>252933</xdr:colOff>
      <xdr:row>0</xdr:row>
      <xdr:rowOff>0</xdr:rowOff>
    </xdr:from>
    <xdr:to>
      <xdr:col>7</xdr:col>
      <xdr:colOff>360510</xdr:colOff>
      <xdr:row>3</xdr:row>
      <xdr:rowOff>641</xdr:rowOff>
    </xdr:to>
    <xdr:sp macro="" textlink="">
      <xdr:nvSpPr>
        <xdr:cNvPr id="3" name="Dikdörtgen: Köşeleri Yuvarlatılmış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69B022-747D-42CB-B445-D84A8202CEC7}"/>
            </a:ext>
          </a:extLst>
        </xdr:cNvPr>
        <xdr:cNvSpPr/>
      </xdr:nvSpPr>
      <xdr:spPr>
        <a:xfrm>
          <a:off x="2898162" y="0"/>
          <a:ext cx="1936377" cy="555812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solidFill>
                <a:schemeClr val="lt1"/>
              </a:solidFill>
              <a:latin typeface="+mn-lt"/>
              <a:ea typeface="+mn-ea"/>
              <a:cs typeface="+mn-cs"/>
            </a:rPr>
            <a:t>SEÇENEKLER</a:t>
          </a:r>
        </a:p>
      </xdr:txBody>
    </xdr:sp>
    <xdr:clientData/>
  </xdr:twoCellAnchor>
  <xdr:twoCellAnchor>
    <xdr:from>
      <xdr:col>7</xdr:col>
      <xdr:colOff>934251</xdr:colOff>
      <xdr:row>0</xdr:row>
      <xdr:rowOff>0</xdr:rowOff>
    </xdr:from>
    <xdr:to>
      <xdr:col>8</xdr:col>
      <xdr:colOff>83886</xdr:colOff>
      <xdr:row>3</xdr:row>
      <xdr:rowOff>641</xdr:rowOff>
    </xdr:to>
    <xdr:sp macro="" textlink="">
      <xdr:nvSpPr>
        <xdr:cNvPr id="4" name="Dikdörtgen: Köşeleri Yuvarlatılmış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3D7A8C-D979-46C2-BD00-5F65BABDC0AE}"/>
            </a:ext>
          </a:extLst>
        </xdr:cNvPr>
        <xdr:cNvSpPr/>
      </xdr:nvSpPr>
      <xdr:spPr>
        <a:xfrm>
          <a:off x="5408280" y="0"/>
          <a:ext cx="1936377" cy="555812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DEĞER</a:t>
          </a:r>
          <a:r>
            <a:rPr lang="tr-TR" sz="1100" b="1" baseline="0"/>
            <a:t> MATRİSLERİ</a:t>
          </a:r>
          <a:endParaRPr lang="tr-TR" sz="1100" b="1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12</xdr:col>
      <xdr:colOff>99894</xdr:colOff>
      <xdr:row>3</xdr:row>
      <xdr:rowOff>641</xdr:rowOff>
    </xdr:to>
    <xdr:sp macro="" textlink="">
      <xdr:nvSpPr>
        <xdr:cNvPr id="7" name="Dikdörtgen: Köşeleri Yuvarlatılmış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79B9E1-86FC-455A-A610-3B7965BA508D}"/>
            </a:ext>
          </a:extLst>
        </xdr:cNvPr>
        <xdr:cNvSpPr/>
      </xdr:nvSpPr>
      <xdr:spPr>
        <a:xfrm>
          <a:off x="7951694" y="0"/>
          <a:ext cx="1928694" cy="538523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DATA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401491</xdr:colOff>
      <xdr:row>3</xdr:row>
      <xdr:rowOff>641</xdr:rowOff>
    </xdr:to>
    <xdr:sp macro="" textlink="">
      <xdr:nvSpPr>
        <xdr:cNvPr id="2" name="Dikdörtgen: Köşeleri Yuvarlatılmış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F397BC-9884-41D1-8D2A-F3A74D02CC26}"/>
            </a:ext>
          </a:extLst>
        </xdr:cNvPr>
        <xdr:cNvSpPr/>
      </xdr:nvSpPr>
      <xdr:spPr>
        <a:xfrm>
          <a:off x="446314" y="0"/>
          <a:ext cx="1936377" cy="555812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GRAFİK</a:t>
          </a:r>
        </a:p>
      </xdr:txBody>
    </xdr:sp>
    <xdr:clientData/>
  </xdr:twoCellAnchor>
  <xdr:twoCellAnchor>
    <xdr:from>
      <xdr:col>3</xdr:col>
      <xdr:colOff>383562</xdr:colOff>
      <xdr:row>0</xdr:row>
      <xdr:rowOff>0</xdr:rowOff>
    </xdr:from>
    <xdr:to>
      <xdr:col>3</xdr:col>
      <xdr:colOff>2319939</xdr:colOff>
      <xdr:row>3</xdr:row>
      <xdr:rowOff>641</xdr:rowOff>
    </xdr:to>
    <xdr:sp macro="" textlink="">
      <xdr:nvSpPr>
        <xdr:cNvPr id="3" name="Dikdörtgen: Köşeleri Yuvarlatılmış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C120D7-6434-43E8-89C9-FB352446D535}"/>
            </a:ext>
          </a:extLst>
        </xdr:cNvPr>
        <xdr:cNvSpPr/>
      </xdr:nvSpPr>
      <xdr:spPr>
        <a:xfrm>
          <a:off x="2974362" y="0"/>
          <a:ext cx="1936377" cy="555812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solidFill>
                <a:schemeClr val="lt1"/>
              </a:solidFill>
              <a:latin typeface="+mn-lt"/>
              <a:ea typeface="+mn-ea"/>
              <a:cs typeface="+mn-cs"/>
            </a:rPr>
            <a:t>SEÇENEKLER</a:t>
          </a:r>
        </a:p>
      </xdr:txBody>
    </xdr:sp>
    <xdr:clientData/>
  </xdr:twoCellAnchor>
  <xdr:twoCellAnchor>
    <xdr:from>
      <xdr:col>3</xdr:col>
      <xdr:colOff>2893680</xdr:colOff>
      <xdr:row>0</xdr:row>
      <xdr:rowOff>0</xdr:rowOff>
    </xdr:from>
    <xdr:to>
      <xdr:col>5</xdr:col>
      <xdr:colOff>987400</xdr:colOff>
      <xdr:row>3</xdr:row>
      <xdr:rowOff>641</xdr:rowOff>
    </xdr:to>
    <xdr:sp macro="" textlink="">
      <xdr:nvSpPr>
        <xdr:cNvPr id="4" name="Dikdörtgen: Köşeleri Yuvarlatılmış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9A4842-D7AA-4700-8C4E-6E4C927D9529}"/>
            </a:ext>
          </a:extLst>
        </xdr:cNvPr>
        <xdr:cNvSpPr/>
      </xdr:nvSpPr>
      <xdr:spPr>
        <a:xfrm>
          <a:off x="5484480" y="0"/>
          <a:ext cx="1936377" cy="555812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DEĞER</a:t>
          </a:r>
          <a:r>
            <a:rPr lang="tr-TR" sz="1100" b="1" baseline="0"/>
            <a:t> MATRİSLERİ</a:t>
          </a:r>
          <a:endParaRPr lang="tr-TR" sz="1100" b="1"/>
        </a:p>
      </xdr:txBody>
    </xdr:sp>
    <xdr:clientData/>
  </xdr:twoCellAnchor>
  <xdr:twoCellAnchor>
    <xdr:from>
      <xdr:col>6</xdr:col>
      <xdr:colOff>112643</xdr:colOff>
      <xdr:row>0</xdr:row>
      <xdr:rowOff>0</xdr:rowOff>
    </xdr:from>
    <xdr:to>
      <xdr:col>7</xdr:col>
      <xdr:colOff>1677959</xdr:colOff>
      <xdr:row>2</xdr:row>
      <xdr:rowOff>184751</xdr:rowOff>
    </xdr:to>
    <xdr:sp macro="" textlink="">
      <xdr:nvSpPr>
        <xdr:cNvPr id="5" name="Dikdörtgen: Köşeleri Yuvarlatılmış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B7DC328-70A1-4797-9318-C431F41625DD}"/>
            </a:ext>
          </a:extLst>
        </xdr:cNvPr>
        <xdr:cNvSpPr/>
      </xdr:nvSpPr>
      <xdr:spPr>
        <a:xfrm>
          <a:off x="8024191" y="0"/>
          <a:ext cx="1936377" cy="555812"/>
        </a:xfrm>
        <a:prstGeom prst="roundRect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DATA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47623</xdr:colOff>
      <xdr:row>0</xdr:row>
      <xdr:rowOff>304800</xdr:rowOff>
    </xdr:from>
    <xdr:to>
      <xdr:col>0</xdr:col>
      <xdr:colOff>1729330</xdr:colOff>
      <xdr:row>3</xdr:row>
      <xdr:rowOff>133349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BBD3F55-3862-4EB5-B8F2-9402E9E1E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3" y="304800"/>
          <a:ext cx="1681707" cy="85724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tug Ergin" refreshedDate="46042.870937847219" createdVersion="8" refreshedVersion="8" minRefreshableVersion="3" recordCount="167" xr:uid="{8272BE3C-E53B-4EC9-B0A2-2C79A202BA0E}">
  <cacheSource type="worksheet">
    <worksheetSource ref="A1:AG165" sheet="Tüm Operasyonlar"/>
  </cacheSource>
  <cacheFields count="18">
    <cacheField name="SIRA NO" numFmtId="0">
      <sharedItems containsString="0" containsBlank="1" containsNumber="1" containsInteger="1" minValue="1" maxValue="166"/>
    </cacheField>
    <cacheField name="CİHAZ" numFmtId="0">
      <sharedItems/>
    </cacheField>
    <cacheField name="STOK KODU" numFmtId="0">
      <sharedItems containsBlank="1" count="142">
        <s v="AER-1"/>
        <s v="M-Y-DC.001"/>
        <s v="M-Y-DF.001"/>
        <s v="M-Y-DG.001"/>
        <s v="M-Y-DG.002"/>
        <s v="M-Y-DK.001"/>
        <s v="M-Y-DK.003"/>
        <s v="M-Y-DK.004"/>
        <s v="M-Y-DP.001"/>
        <s v="M-Y-DP.002"/>
        <s v="M-Y-DP.003"/>
        <s v="M-Y-DP.005"/>
        <s v="M-Y-DP.007"/>
        <s v="M-Y-DP.008"/>
        <s v="M-Y-DP.019"/>
        <s v="M-Y-DZ.001"/>
        <s v="M-Y-ET.001"/>
        <s v="M-Y-EV.001"/>
        <s v="M-Y-EV.007"/>
        <s v="M-Y-FG.001"/>
        <s v="M-Y-GS.001"/>
        <s v="M-Y-KB.013"/>
        <s v="M-Y-KM.007"/>
        <s v="M-Y-KM.012"/>
        <s v="M-Y-KP.004"/>
        <s v="M-Y-KP.006"/>
        <s v="M-Y-KP.007"/>
        <s v="M-Y-KP.009"/>
        <s v="M-Y-KP.010"/>
        <s v="M-Y-KP.011"/>
        <s v="M-Y-KP.017"/>
        <s v="M-Y-KT.002"/>
        <s v="M-Y-KT.003"/>
        <s v="M-Y-LS.001"/>
        <s v="M-Y-MG.001"/>
        <s v="M-Y-MG.002"/>
        <s v="M-Y-MG.003"/>
        <s v="M-Y-MT.003"/>
        <s v="M-Y-OSB.001"/>
        <s v="M-Y-RG.001"/>
        <s v="M-Y-RG.003"/>
        <s v="M-Y-RG.004"/>
        <s v="M-Y-RG.005"/>
        <s v="M-Y-RG.006"/>
        <s v="M-Y-RG.007"/>
        <s v="M-Y-RK.009"/>
        <s v="M-Y-RK.010"/>
        <s v="M-Y-RK.011"/>
        <s v="M-Y-5S.013"/>
        <s v="M-Y-AB.004"/>
        <s v="M-Y-SG.001"/>
        <s v="M-Y-SR.001"/>
        <s v="M-Y-TH.002"/>
        <s v="M-Y-TS.003"/>
        <s v="M-Y-UV.003"/>
        <s v="M-Y-ÜS.001"/>
        <s v="AER-3"/>
        <s v="M-Y-AB.005"/>
        <s v="M-Y-AS.003"/>
        <s v="M-Y-AS.004"/>
        <s v="M-Y-DF.003"/>
        <s v="M-Y-DG.004"/>
        <s v="M-Y-DG.005"/>
        <s v="M-Y-DP.010"/>
        <s v="M-Y-DP.021"/>
        <s v="M-Y-DP.022"/>
        <s v="M-Y-DZ.002"/>
        <s v="M-Y-DZ.003"/>
        <s v="M-Y-DZ.004"/>
        <s v="M-Y-EV.009"/>
        <s v="M-Y-EV.032"/>
        <s v="M-Y-HF.002"/>
        <s v="M-Y-HV.001"/>
        <s v="M-Y-KB.018"/>
        <s v="M-Y-KCK.002"/>
        <s v="M-Y-KCK.003"/>
        <s v="M-Y-KCK.004"/>
        <s v="M-Y-KCK.006"/>
        <s v="M-Y-KM.009"/>
        <s v="M-Y-KM.013"/>
        <s v="M-Y-KM.014"/>
        <s v="M-Y-KP.002"/>
        <s v="M-Y-KP.012"/>
        <s v="M-Y-KP.013"/>
        <s v="M-Y-KP.014"/>
        <s v="M-Y-KP.015"/>
        <s v="M-Y-KP.018"/>
        <s v="M-Y-KP.019"/>
        <s v="M-Y-MG.005"/>
        <s v="M-Y-MG.006"/>
        <s v="M-Y-MS.001"/>
        <s v="M-Y-MS.002"/>
        <s v="M-Y-MS.003"/>
        <s v="M-Y-MT.001"/>
        <s v="M-Y-MT.002"/>
        <s v="M-Y-OP.002"/>
        <s v="M-Y-PN.001"/>
        <s v="M-Y-PN.002"/>
        <s v="M-Y-PN.003"/>
        <s v="M-Y-PN.004"/>
        <s v="M-Y-PN.005"/>
        <s v="M-Y-PN.006"/>
        <s v="M-Y-PS.001"/>
        <s v="M-Y-RK.001"/>
        <s v="M-Y-RK.002"/>
        <s v="M-Y-RK.003"/>
        <s v="M-Y-RK.007"/>
        <s v="M-Y-RK.012"/>
        <s v="M-Y-RK.013"/>
        <s v="M-Y-SL.002"/>
        <s v="M-Y-SL.003"/>
        <s v="M-Y-SP.001"/>
        <s v="M-Y-SR.002"/>
        <s v="M-Y-SR.003"/>
        <s v="M-Y-TS.001"/>
        <s v="M-Y-TS.004"/>
        <s v="M-Y-TS.005"/>
        <s v="M-Y-UV.001"/>
        <s v="DSC-1201"/>
        <s v="M-DS-Y-AG.001"/>
        <s v="M-DS-Y-AS.005"/>
        <s v="M-DS-Y-GKG.001"/>
        <s v="M-DS-Y-HV.001"/>
        <s v="M-DS-Y-KKG.001"/>
        <s v="M-DS-Y-KM.001"/>
        <s v="M-DS-Y-KM.003"/>
        <s v="M-DS-Y-KM.004"/>
        <s v="M-DS-Y-PFG.001"/>
        <s v="M-DS-Y-PN.001"/>
        <s v="M-DS-Y-RG.001"/>
        <s v="M-DS-Y-RK.006"/>
        <s v="M-DS-Y-SLG.001"/>
        <s v="M-DS-Y-SMG.001"/>
        <s v="M-DS-Y-SRG.001"/>
        <s v="MAKDA9004-01"/>
        <s v="M-DA-Y-KS.003"/>
        <s v="M-Y-ET.002"/>
        <s v="M-DA-Y-BG.001"/>
        <s v="M-DA-Y-KS.002"/>
        <s v="M-DA-Y-MT.001"/>
        <s v="M-DA-Y-PN.001"/>
        <m/>
      </sharedItems>
    </cacheField>
    <cacheField name="STOK ADI" numFmtId="0">
      <sharedItems containsBlank="1" count="159">
        <s v="AER-1 MONTAJ HATTI 1"/>
        <s v="AER-1 MONTAJ HATTI 2"/>
        <s v="AER-1 MONTAJ HATTI 3"/>
        <s v="AER-1 MONTAJ HATTI 4"/>
        <s v="AER-1 5 YIKAMA HAZIRLIK"/>
        <s v="AER-1 YIKAMA HATTI REWORK"/>
        <s v="AER-1 TEMİZLİK HATTI"/>
        <s v="AER-1 PAKET ÖNCESİ HAZIRLIK"/>
        <s v="AER-1 PAKETLEME OPERASYONU"/>
        <s v="CPC ERKEK 90°"/>
        <s v="DIŞ FİLTRE GRUBU"/>
        <s v="CPC DAĞITICI-ÇİFT SKOP GRUBU"/>
        <s v="NOZZLE DAĞITICI GRUBU"/>
        <s v="DOLUM KAPAK GRUBU-ALKOL"/>
        <s v="DOLUM KAPAK GRUBU-ENZIMATIK"/>
        <s v="DOLUM KAPAK GRUBU-KONSANTRE"/>
        <s v="5 L KONS. DEZ. DEPO GRUBU"/>
        <s v="5 L ENZİM DEPO GRUBU"/>
        <s v="5 L ALKOL DEPO GRUBU"/>
        <s v="15 L ATIK DEPO GRUBU"/>
        <s v="15 L DEZENFEKTAN DEPO GRUBU"/>
        <s v="15 L TEMİZ SU DEPO GRUBU"/>
        <s v="15 L PASLANMAZ DEPO GRUBU"/>
        <s v="DOZAJ POMPA GRUBU 7 L"/>
        <s v="70X100 TANITIM PLAKASI"/>
        <s v="GİRDAP ÖNLEYİCİ"/>
        <s v="EVYE-ÇİFT SKOP, ÇİFT TANK GRUBU"/>
        <s v="SELENOİD TEL FİLTRE GRUBU"/>
        <s v="EVYE GİDER GRUBU"/>
        <s v="KABLO SETİ-İLETİŞİM-USB KABLO GRUBU"/>
        <s v="OLF 100AF KOMPRESÖR GRUBU "/>
        <s v="AER 1 KOMPRESÖR SELENOİD VALF GRUBU"/>
        <s v="KAPAK GRUBU KİLİTSİZ MODEL"/>
        <s v="15 L DEZENFEKTAN DEPO KAPAK GRUBU"/>
        <s v="15 L ATIK DEPO KAPAK GRUBU"/>
        <s v="15 L TEMİZ SU DEPO+UV KAPAK GRUBU"/>
        <s v="5 L DEPO KAPAK GRUBU"/>
        <s v="15 L PASLANMAZ DEPO KAPAK GRUBU"/>
        <s v="AER 1 ÜST KAPAK ARKA MENTEŞE GRUBU"/>
        <s v="MANOMETRE GRUBU"/>
        <s v="OIL-LESS KAÇAK TEST MOTOR GRUBU"/>
        <s v="ALT SENSÖR GRUBU"/>
        <s v="ATIK MOTOR GRUBU"/>
        <s v="DEZENFEKTAN MOTOR GRUBU"/>
        <s v="TEMİZ SU MOTOR GRUBU"/>
        <s v="SİRKÜLASYON POMPASI GRUBU"/>
        <s v="OSB PAKETLEME"/>
        <s v="ATIK MOTOR ÇIKIŞ REKOR GRUBU"/>
        <s v="5 L ENZİM DEPO REKOR GRUBU"/>
        <s v="5 L ALKOL DEPO REKOR GRUBU"/>
        <s v="5 L KONS. DEZ. DEPO REKOR GRUBU"/>
        <s v="EVYE DEZENFEKTAN DEPO REKOR GRUBU"/>
        <s v="EVYE TEMİZ DEPO REKOR GRUBU"/>
        <s v="OTO KAÇAK CPC GRUBU"/>
        <s v="HAVA ÇEK-VALFİ"/>
        <s v="1/2 DİK ÇEK-VALF"/>
        <s v="SELENOİD GRUBU-ÇİFT SKOP ÇİFT TANK"/>
        <s v="EVYE İÇİ PAKET-ÇİFT SCOP"/>
        <s v="SU GİRİŞ VENTİLİ GRUBU"/>
        <s v="AER 1 SİGORTA RAYI 14 CM"/>
        <s v="TAHLİYE VANA GRUBU PASLANMAZ"/>
        <s v="AER 1 SMC VALF GRUBU"/>
        <s v="UV LAMBA KÜP DUY GRUBU"/>
        <s v="ÜST SENSÖR GRUBU"/>
        <s v="AER-3 MONTAJ HATTI 1"/>
        <s v="AER-3 MONTAJ HATTI 2"/>
        <s v="AER-3 MONTAJ HATTI 3"/>
        <s v="AER-3 MONTAJ HATTI 4"/>
        <s v="AER-3 5 YIKAMA HAZIRLIK"/>
        <s v="AER-3 YIKAMA HATTI REWORK"/>
        <s v="AER-3 TEMİZLİK HATTI"/>
        <s v="AER-3 PAKET ÖNCESİ HAZIRLIK"/>
        <s v="AER-3 PAKETLEME OPERASYONU"/>
        <s v="AER 3 EVYE İÇİ PAKET-ÇİFT SKOP"/>
        <s v="TEKLİ AKIŞ SENSÖR GRUBU-ENZİM ALKOL"/>
        <s v="TEKLİ AKIŞ SENSÖR GRUBU-KONSANTRE"/>
        <s v="HOUSING GRUBU"/>
        <s v="AER 3 CPC DAĞITICI-ÇİFT SKOP GRUBU"/>
        <s v="AER 3 NOZZLE DAĞITICI GRUBU"/>
        <s v="2 L ATIK TANKI GRUBU"/>
        <s v="ATIK KOLLEKTÖR GRUBU"/>
        <s v="DOZAJ POMPA GRUBU-ENZİM ALKOL"/>
        <s v="DOZAJ POMPA GRUBU-KONSANTRE"/>
        <s v="DETROWASH AER 3 DOZAJ GRUBU"/>
        <s v="GRAFİK EKRAN EVYE GRUBU-ÇİFT SKOP"/>
        <s v="SEPET"/>
        <s v="EVYE HAVA FİLTRESİ-ORTA "/>
        <s v="5 L PASLANMAZ HAVA TANK GRUBU"/>
        <s v="24V GÜÇ KABLOSU GRUBU"/>
        <s v="OTO KAÇAK TEST GRUBU-ÇİFT SKOP"/>
        <s v="BASINÇ TRANSMİTTER GRUBU"/>
        <s v="OTO KAÇAK 2/2 SELENOİD VALF GRUBU"/>
        <s v="OTO KAÇAK 3/2 BOBİNLİ VALF GRUBU - ÇİFT SKOP"/>
        <s v="DW AER 3 KOMPRESÖR GRUBU 50 HZ"/>
        <s v="AER 3 KOMPRESÖR BASINÇ ŞALTER GRUBU"/>
        <s v="AER 3 KOMPRESÖR VOLTAJ KORUMALI VALF GRUBU"/>
        <s v="ENZİM-ALKOL BİDON KAPAK GRUBU"/>
        <s v="2 L ATIK TANKI KAPAK GRUBU"/>
        <s v="ÜST KAPAK GRUBU"/>
        <s v="TAŞMA SENSÖR GRUBU"/>
        <s v="2 L ATIK DEPO ALT SENSÖR UZATMA"/>
        <s v="MANYETİK ALGILAYICI GRUBU"/>
        <s v="AER 3 15 L DEZENFEKTAN DEPO MOTOR GRUBU"/>
        <s v="AER 3 2 L ATIK TANK MOTOR GRUBU"/>
        <s v="AER 3 EVYE MUSLUK GRUBU"/>
        <s v="AER 3 EVYE NOZZLE GRUBU"/>
        <s v="AER 3 EVYE SENSÖR GRUBU"/>
        <s v="SİRKÜLASYON MOTOR GRUBU"/>
        <s v="MİKSAN MOTOR 90° ÇIKIŞ REKOR GRUBU"/>
        <s v="BARKOD TUTUCU"/>
        <s v="REGÜLATÖR GRUBU"/>
        <s v="KANAL HAVA SELENOİD GRUBU"/>
        <s v="KANAL HAVA REGÜLATÖR GRUBU"/>
        <s v="OTO KAÇAK HAVA REGÜLATÖR GRUBU"/>
        <s v="KAPAK VALF GRUBU"/>
        <s v="HAVA TABANCASI GRUBU"/>
        <s v="PİSTON GRUBU"/>
        <s v="3 YOLLU PNÖMATİK VANA GRUBU"/>
        <s v="ATIK ÇEK-VALFİ"/>
        <s v="KONSANTRE ÇEK-VALFİ"/>
        <s v="KONSANTRE HAVA ÇEK-VALFİ"/>
        <s v="1/2&quot;X20 REKORLU ÇALPARA PASLANMAZ "/>
        <s v="1/2&quot;X14 REKORLU ÇALPARA PASLANMAZ "/>
        <s v="SELENOİD GRUBU-KULLANIMA HAZIR+KONSANTRE"/>
        <s v="DEZENFEKTAN DEPO SELENOİD GRUBU-2 ÇIKIŞLI"/>
        <s v="SEPET GRUBU"/>
        <s v="AER 3 SİGORTA RAYI 4 CM"/>
        <s v="AER 3 SİGORTA RAYI 9 CM"/>
        <s v="TEMASSIZ SIVI SEVİYE SENSÖR GRUBU"/>
        <s v="AER 3 SMC VALF GRUBU-1"/>
        <s v="AER 3 SMC VALF GRUBU-2"/>
        <s v="UV GRUBU"/>
        <s v="DSC MONTAJ OPERASYONU"/>
        <s v="DSC TEMİZLİK OPERASYONU"/>
        <s v="DSC FİNAL KONTROL OPERASYONU"/>
        <s v="DSC PAKETLEME OPERASYONU"/>
        <s v="ASKI GRUBU"/>
        <s v="PLUG FAN GRUBU"/>
        <s v="GÜÇ KABLOSU GRUBU"/>
        <s v="SELENOİD KİLİT GRUBU"/>
        <s v="DSC KOMPRESÖR GRUBU 50HZ"/>
        <s v="DSC KOMPRESÖR BASINÇ ŞALTER GRUBU"/>
        <s v="DSC KOMPRESÖR VOLTAJ KORUMALI VALF GRUBU"/>
        <s v="PTFE FİLTRE GRUBU"/>
        <s v="RULMAN GRUBU"/>
        <s v="Y APARAT GRUBU"/>
        <s v="SMC SELENOİD GRUBU"/>
        <s v="STEP MOTOR GRUBU"/>
        <s v="SLIP RING GRUBU"/>
        <s v="MAKDA9004-01 - MONTAJ OPERASYONU"/>
        <s v="MAKDA9004-01 - TEMİZLİK OPERASYONU"/>
        <s v="MAKDA9004-01 - PAKETLEME OPERASYONU"/>
        <s v="BAŞLIK GRUBU"/>
        <s v="50X70 TANITIM PLAKASI"/>
        <s v="DETROAIR SPREY BAŞLIK YUVA GRUBU"/>
        <s v="DETROAIR SPREY KASA MONTAJ GRUBU"/>
        <s v="DETROAIR SPREY MOTOR GRUBU"/>
        <s v="DETROAIR SPREY ÖN PANEL GRUBU"/>
        <m/>
      </sharedItems>
    </cacheField>
    <cacheField name="ZORLUK DERECESİ" numFmtId="0">
      <sharedItems containsString="0" containsBlank="1" containsNumber="1" containsInteger="1" minValue="1" maxValue="5"/>
    </cacheField>
    <cacheField name="İZZET ATAKAN DEMİR" numFmtId="0">
      <sharedItems containsSemiMixedTypes="0" containsString="0" containsNumber="1" containsInteger="1" minValue="1" maxValue="427"/>
    </cacheField>
    <cacheField name="MEHMET KAPLAN" numFmtId="0">
      <sharedItems containsSemiMixedTypes="0" containsString="0" containsNumber="1" containsInteger="1" minValue="1" maxValue="409"/>
    </cacheField>
    <cacheField name="TOLGAHAN ÇEBİ" numFmtId="0">
      <sharedItems containsSemiMixedTypes="0" containsString="0" containsNumber="1" containsInteger="1" minValue="1" maxValue="425"/>
    </cacheField>
    <cacheField name="KAĞAN UDUM" numFmtId="0">
      <sharedItems containsSemiMixedTypes="0" containsString="0" containsNumber="1" containsInteger="1" minValue="1" maxValue="458"/>
    </cacheField>
    <cacheField name="M.FURKAN YAVUZ" numFmtId="0">
      <sharedItems containsSemiMixedTypes="0" containsString="0" containsNumber="1" containsInteger="1" minValue="1" maxValue="511"/>
    </cacheField>
    <cacheField name="ÖZER KOÇ" numFmtId="0">
      <sharedItems containsSemiMixedTypes="0" containsString="0" containsNumber="1" containsInteger="1" minValue="1" maxValue="735"/>
    </cacheField>
    <cacheField name="ÖMER POLAT" numFmtId="0">
      <sharedItems containsSemiMixedTypes="0" containsString="0" containsNumber="1" containsInteger="1" minValue="1" maxValue="559"/>
    </cacheField>
    <cacheField name="SEMRA ULTAV" numFmtId="0">
      <sharedItems containsSemiMixedTypes="0" containsString="0" containsNumber="1" containsInteger="1" minValue="1" maxValue="551"/>
    </cacheField>
    <cacheField name="HANDE GÜNAYDIN" numFmtId="0">
      <sharedItems containsSemiMixedTypes="0" containsString="0" containsNumber="1" containsInteger="1" minValue="1" maxValue="500"/>
    </cacheField>
    <cacheField name="MUSA HIZIR" numFmtId="0">
      <sharedItems containsSemiMixedTypes="0" containsString="0" containsNumber="1" containsInteger="1" minValue="1" maxValue="546"/>
    </cacheField>
    <cacheField name="VOLKAN KAVLAK" numFmtId="0">
      <sharedItems containsSemiMixedTypes="0" containsString="0" containsNumber="1" containsInteger="1" minValue="1" maxValue="669"/>
    </cacheField>
    <cacheField name="SULTAN SOLAK" numFmtId="0">
      <sharedItems containsSemiMixedTypes="0" containsString="0" containsNumber="1" containsInteger="1" minValue="1" maxValue="506"/>
    </cacheField>
    <cacheField name="Toplam" numFmtId="0">
      <sharedItems containsString="0" containsBlank="1" containsNumber="1" containsInteger="1" minValue="15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1"/>
    <s v="AER-1"/>
    <x v="0"/>
    <x v="0"/>
    <n v="5"/>
    <n v="4"/>
    <n v="4"/>
    <n v="4"/>
    <n v="5"/>
    <n v="5"/>
    <n v="2"/>
    <n v="1"/>
    <n v="1"/>
    <n v="1"/>
    <n v="1"/>
    <n v="5"/>
    <n v="1"/>
    <n v="34"/>
  </r>
  <r>
    <n v="2"/>
    <s v="AER-1"/>
    <x v="0"/>
    <x v="1"/>
    <n v="5"/>
    <n v="4"/>
    <n v="4"/>
    <n v="4"/>
    <n v="5"/>
    <n v="5"/>
    <n v="2"/>
    <n v="1"/>
    <n v="1"/>
    <n v="1"/>
    <n v="1"/>
    <n v="5"/>
    <n v="1"/>
    <n v="34"/>
  </r>
  <r>
    <n v="3"/>
    <s v="AER-1"/>
    <x v="0"/>
    <x v="2"/>
    <n v="5"/>
    <n v="3"/>
    <n v="2"/>
    <n v="4"/>
    <n v="5"/>
    <n v="5"/>
    <n v="2"/>
    <n v="1"/>
    <n v="1"/>
    <n v="1"/>
    <n v="1"/>
    <n v="5"/>
    <n v="1"/>
    <n v="31"/>
  </r>
  <r>
    <n v="4"/>
    <s v="AER-1"/>
    <x v="0"/>
    <x v="3"/>
    <n v="5"/>
    <n v="3"/>
    <n v="2"/>
    <n v="4"/>
    <n v="5"/>
    <n v="5"/>
    <n v="2"/>
    <n v="1"/>
    <n v="1"/>
    <n v="1"/>
    <n v="1"/>
    <n v="5"/>
    <n v="1"/>
    <n v="31"/>
  </r>
  <r>
    <n v="5"/>
    <s v="AER-1"/>
    <x v="0"/>
    <x v="4"/>
    <n v="5"/>
    <n v="2"/>
    <n v="1"/>
    <n v="1"/>
    <n v="5"/>
    <n v="5"/>
    <n v="1"/>
    <n v="1"/>
    <n v="1"/>
    <n v="1"/>
    <n v="1"/>
    <n v="4"/>
    <n v="1"/>
    <n v="24"/>
  </r>
  <r>
    <n v="6"/>
    <s v="AER-1"/>
    <x v="0"/>
    <x v="5"/>
    <n v="5"/>
    <n v="4"/>
    <n v="4"/>
    <n v="4"/>
    <n v="5"/>
    <n v="5"/>
    <n v="4"/>
    <n v="1"/>
    <n v="1"/>
    <n v="1"/>
    <n v="1"/>
    <n v="5"/>
    <n v="1"/>
    <n v="36"/>
  </r>
  <r>
    <n v="7"/>
    <s v="AER-1"/>
    <x v="0"/>
    <x v="6"/>
    <n v="2"/>
    <n v="3"/>
    <n v="3"/>
    <n v="3"/>
    <n v="3"/>
    <n v="3"/>
    <n v="3"/>
    <n v="3"/>
    <n v="5"/>
    <n v="5"/>
    <n v="3"/>
    <n v="3"/>
    <n v="5"/>
    <n v="42"/>
  </r>
  <r>
    <n v="8"/>
    <s v="AER-1"/>
    <x v="0"/>
    <x v="7"/>
    <n v="4"/>
    <n v="3"/>
    <n v="1"/>
    <n v="3"/>
    <n v="5"/>
    <n v="4"/>
    <n v="3"/>
    <n v="1"/>
    <n v="1"/>
    <n v="1"/>
    <n v="1"/>
    <n v="5"/>
    <n v="1"/>
    <n v="29"/>
  </r>
  <r>
    <n v="9"/>
    <s v="AER-1"/>
    <x v="0"/>
    <x v="8"/>
    <n v="2"/>
    <n v="5"/>
    <n v="3"/>
    <n v="3"/>
    <n v="5"/>
    <n v="5"/>
    <n v="5"/>
    <n v="3"/>
    <n v="1"/>
    <n v="1"/>
    <n v="3"/>
    <n v="5"/>
    <n v="1"/>
    <n v="40"/>
  </r>
  <r>
    <n v="10"/>
    <s v="AER-1"/>
    <x v="1"/>
    <x v="9"/>
    <n v="2"/>
    <n v="3"/>
    <n v="3"/>
    <n v="3"/>
    <n v="3"/>
    <n v="3"/>
    <n v="5"/>
    <n v="5"/>
    <n v="4"/>
    <n v="4"/>
    <n v="4"/>
    <n v="5"/>
    <n v="4"/>
    <n v="46"/>
  </r>
  <r>
    <n v="11"/>
    <s v="AER-1"/>
    <x v="2"/>
    <x v="10"/>
    <n v="4"/>
    <n v="2"/>
    <n v="2"/>
    <n v="2"/>
    <n v="3"/>
    <n v="3"/>
    <n v="5"/>
    <n v="3"/>
    <n v="2"/>
    <n v="2"/>
    <n v="3"/>
    <n v="3"/>
    <n v="2"/>
    <n v="32"/>
  </r>
  <r>
    <n v="12"/>
    <s v="AER-1"/>
    <x v="3"/>
    <x v="11"/>
    <n v="5"/>
    <n v="2"/>
    <n v="2"/>
    <n v="2"/>
    <n v="2"/>
    <n v="5"/>
    <n v="5"/>
    <n v="3"/>
    <n v="3"/>
    <n v="2"/>
    <n v="3"/>
    <n v="4"/>
    <n v="2"/>
    <n v="35"/>
  </r>
  <r>
    <n v="13"/>
    <s v="AER-1"/>
    <x v="4"/>
    <x v="12"/>
    <n v="5"/>
    <n v="2"/>
    <n v="2"/>
    <n v="2"/>
    <n v="2"/>
    <n v="5"/>
    <n v="5"/>
    <n v="3"/>
    <n v="3"/>
    <n v="2"/>
    <n v="3"/>
    <n v="4"/>
    <n v="2"/>
    <n v="35"/>
  </r>
  <r>
    <n v="14"/>
    <s v="AER-1"/>
    <x v="5"/>
    <x v="13"/>
    <n v="2"/>
    <n v="3"/>
    <n v="3"/>
    <n v="3"/>
    <n v="3"/>
    <n v="3"/>
    <n v="5"/>
    <n v="4"/>
    <n v="4"/>
    <n v="4"/>
    <n v="4"/>
    <n v="4"/>
    <n v="4"/>
    <n v="44"/>
  </r>
  <r>
    <n v="15"/>
    <s v="AER-1"/>
    <x v="6"/>
    <x v="14"/>
    <n v="2"/>
    <n v="3"/>
    <n v="3"/>
    <n v="3"/>
    <n v="3"/>
    <n v="3"/>
    <n v="5"/>
    <n v="4"/>
    <n v="4"/>
    <n v="4"/>
    <n v="4"/>
    <n v="4"/>
    <n v="4"/>
    <n v="44"/>
  </r>
  <r>
    <n v="16"/>
    <s v="AER-1"/>
    <x v="7"/>
    <x v="15"/>
    <n v="2"/>
    <n v="3"/>
    <n v="3"/>
    <n v="3"/>
    <n v="3"/>
    <n v="3"/>
    <n v="5"/>
    <n v="4"/>
    <n v="4"/>
    <n v="4"/>
    <n v="4"/>
    <n v="4"/>
    <n v="4"/>
    <n v="44"/>
  </r>
  <r>
    <n v="17"/>
    <s v="AER-1"/>
    <x v="8"/>
    <x v="16"/>
    <n v="3"/>
    <n v="3"/>
    <n v="3"/>
    <n v="3"/>
    <n v="3"/>
    <n v="3"/>
    <n v="5"/>
    <n v="4"/>
    <n v="4"/>
    <n v="3"/>
    <n v="4"/>
    <n v="4"/>
    <n v="3"/>
    <n v="42"/>
  </r>
  <r>
    <n v="18"/>
    <s v="AER-1"/>
    <x v="9"/>
    <x v="17"/>
    <n v="3"/>
    <n v="3"/>
    <n v="3"/>
    <n v="3"/>
    <n v="3"/>
    <n v="3"/>
    <n v="5"/>
    <n v="4"/>
    <n v="4"/>
    <n v="3"/>
    <n v="4"/>
    <n v="4"/>
    <n v="3"/>
    <n v="42"/>
  </r>
  <r>
    <n v="19"/>
    <s v="AER-1"/>
    <x v="10"/>
    <x v="18"/>
    <n v="3"/>
    <n v="3"/>
    <n v="3"/>
    <n v="3"/>
    <n v="3"/>
    <n v="3"/>
    <n v="5"/>
    <n v="4"/>
    <n v="4"/>
    <n v="3"/>
    <n v="4"/>
    <n v="4"/>
    <n v="3"/>
    <n v="42"/>
  </r>
  <r>
    <n v="20"/>
    <s v="AER-1"/>
    <x v="11"/>
    <x v="19"/>
    <n v="3"/>
    <n v="3"/>
    <n v="3"/>
    <n v="3"/>
    <n v="3"/>
    <n v="3"/>
    <n v="5"/>
    <n v="4"/>
    <n v="4"/>
    <n v="3"/>
    <n v="4"/>
    <n v="4"/>
    <n v="3"/>
    <n v="42"/>
  </r>
  <r>
    <n v="21"/>
    <s v="AER-1"/>
    <x v="12"/>
    <x v="20"/>
    <n v="3"/>
    <n v="3"/>
    <n v="3"/>
    <n v="3"/>
    <n v="3"/>
    <n v="3"/>
    <n v="5"/>
    <n v="4"/>
    <n v="4"/>
    <n v="3"/>
    <n v="4"/>
    <n v="4"/>
    <n v="3"/>
    <n v="42"/>
  </r>
  <r>
    <n v="22"/>
    <s v="AER-1"/>
    <x v="13"/>
    <x v="21"/>
    <n v="3"/>
    <n v="3"/>
    <n v="3"/>
    <n v="3"/>
    <n v="3"/>
    <n v="3"/>
    <n v="5"/>
    <n v="4"/>
    <n v="4"/>
    <n v="3"/>
    <n v="4"/>
    <n v="4"/>
    <n v="3"/>
    <n v="42"/>
  </r>
  <r>
    <n v="23"/>
    <s v="AER-1"/>
    <x v="14"/>
    <x v="22"/>
    <n v="3"/>
    <n v="3"/>
    <n v="3"/>
    <n v="3"/>
    <n v="3"/>
    <n v="3"/>
    <n v="5"/>
    <n v="4"/>
    <n v="4"/>
    <n v="3"/>
    <n v="4"/>
    <n v="4"/>
    <n v="3"/>
    <n v="42"/>
  </r>
  <r>
    <n v="24"/>
    <s v="AER-1"/>
    <x v="15"/>
    <x v="23"/>
    <n v="4"/>
    <n v="3"/>
    <n v="3"/>
    <n v="3"/>
    <n v="3"/>
    <n v="3"/>
    <n v="5"/>
    <n v="4"/>
    <n v="4"/>
    <n v="4"/>
    <n v="4"/>
    <n v="4"/>
    <n v="4"/>
    <n v="44"/>
  </r>
  <r>
    <n v="25"/>
    <s v="AER-1"/>
    <x v="16"/>
    <x v="24"/>
    <n v="5"/>
    <n v="1"/>
    <n v="1"/>
    <n v="1"/>
    <n v="1"/>
    <n v="1"/>
    <n v="2"/>
    <n v="5"/>
    <n v="1"/>
    <n v="1"/>
    <n v="1"/>
    <n v="1"/>
    <n v="1"/>
    <n v="17"/>
  </r>
  <r>
    <n v="26"/>
    <s v="AER-1"/>
    <x v="17"/>
    <x v="25"/>
    <n v="5"/>
    <n v="1"/>
    <n v="1"/>
    <n v="1"/>
    <n v="1"/>
    <n v="1"/>
    <n v="1"/>
    <n v="1"/>
    <n v="4"/>
    <n v="1"/>
    <n v="1"/>
    <n v="1"/>
    <n v="1"/>
    <n v="15"/>
  </r>
  <r>
    <n v="27"/>
    <s v="AER-1"/>
    <x v="18"/>
    <x v="26"/>
    <n v="5"/>
    <n v="1"/>
    <n v="1"/>
    <n v="1"/>
    <n v="1"/>
    <n v="1"/>
    <n v="3"/>
    <n v="1"/>
    <n v="1"/>
    <n v="1"/>
    <n v="1"/>
    <n v="5"/>
    <n v="4"/>
    <n v="21"/>
  </r>
  <r>
    <n v="28"/>
    <s v="AER-1"/>
    <x v="19"/>
    <x v="27"/>
    <n v="1"/>
    <n v="4"/>
    <n v="4"/>
    <n v="4"/>
    <n v="4"/>
    <n v="5"/>
    <n v="5"/>
    <n v="4"/>
    <n v="4"/>
    <n v="4"/>
    <n v="4"/>
    <n v="5"/>
    <n v="4"/>
    <n v="51"/>
  </r>
  <r>
    <n v="29"/>
    <s v="AER-1"/>
    <x v="20"/>
    <x v="28"/>
    <n v="3"/>
    <n v="3"/>
    <n v="3"/>
    <n v="3"/>
    <n v="3"/>
    <n v="3"/>
    <n v="5"/>
    <n v="4"/>
    <n v="4"/>
    <n v="4"/>
    <n v="4"/>
    <n v="5"/>
    <n v="4"/>
    <n v="45"/>
  </r>
  <r>
    <n v="30"/>
    <s v="AER-1"/>
    <x v="21"/>
    <x v="29"/>
    <n v="4"/>
    <n v="2"/>
    <n v="2"/>
    <n v="2"/>
    <n v="2"/>
    <n v="2"/>
    <n v="5"/>
    <n v="3"/>
    <n v="3"/>
    <n v="4"/>
    <n v="3"/>
    <n v="3"/>
    <n v="3"/>
    <n v="34"/>
  </r>
  <r>
    <n v="31"/>
    <s v="AER-1"/>
    <x v="22"/>
    <x v="30"/>
    <n v="5"/>
    <n v="1"/>
    <n v="1"/>
    <n v="1"/>
    <n v="2"/>
    <n v="2"/>
    <n v="5"/>
    <n v="4"/>
    <n v="3"/>
    <n v="3"/>
    <n v="4"/>
    <n v="3"/>
    <n v="3"/>
    <n v="32"/>
  </r>
  <r>
    <n v="32"/>
    <s v="AER-1"/>
    <x v="23"/>
    <x v="31"/>
    <n v="4"/>
    <n v="2"/>
    <n v="2"/>
    <n v="2"/>
    <n v="2"/>
    <n v="2"/>
    <n v="5"/>
    <n v="4"/>
    <n v="4"/>
    <n v="3"/>
    <n v="3"/>
    <n v="3"/>
    <n v="3"/>
    <n v="35"/>
  </r>
  <r>
    <n v="33"/>
    <s v="AER-1"/>
    <x v="24"/>
    <x v="32"/>
    <n v="5"/>
    <n v="1"/>
    <n v="1"/>
    <n v="1"/>
    <n v="1"/>
    <n v="4"/>
    <n v="3"/>
    <n v="1"/>
    <n v="5"/>
    <n v="1"/>
    <n v="1"/>
    <n v="1"/>
    <n v="1"/>
    <n v="21"/>
  </r>
  <r>
    <n v="34"/>
    <s v="AER-1"/>
    <x v="25"/>
    <x v="33"/>
    <n v="3"/>
    <n v="3"/>
    <n v="3"/>
    <n v="3"/>
    <n v="3"/>
    <n v="3"/>
    <n v="5"/>
    <n v="4"/>
    <n v="4"/>
    <n v="4"/>
    <n v="4"/>
    <n v="5"/>
    <n v="4"/>
    <n v="45"/>
  </r>
  <r>
    <n v="35"/>
    <s v="AER-1"/>
    <x v="26"/>
    <x v="34"/>
    <n v="3"/>
    <n v="3"/>
    <n v="3"/>
    <n v="3"/>
    <n v="3"/>
    <n v="3"/>
    <n v="5"/>
    <n v="4"/>
    <n v="4"/>
    <n v="4"/>
    <n v="4"/>
    <n v="5"/>
    <n v="4"/>
    <n v="45"/>
  </r>
  <r>
    <n v="36"/>
    <s v="AER-1"/>
    <x v="27"/>
    <x v="35"/>
    <n v="3"/>
    <n v="3"/>
    <n v="3"/>
    <n v="3"/>
    <n v="3"/>
    <n v="3"/>
    <n v="5"/>
    <n v="4"/>
    <n v="4"/>
    <n v="4"/>
    <n v="4"/>
    <n v="5"/>
    <n v="4"/>
    <n v="45"/>
  </r>
  <r>
    <n v="37"/>
    <s v="AER-1"/>
    <x v="28"/>
    <x v="36"/>
    <n v="3"/>
    <n v="3"/>
    <n v="3"/>
    <n v="3"/>
    <n v="3"/>
    <n v="3"/>
    <n v="5"/>
    <n v="4"/>
    <n v="4"/>
    <n v="4"/>
    <n v="4"/>
    <n v="5"/>
    <n v="4"/>
    <n v="45"/>
  </r>
  <r>
    <n v="38"/>
    <s v="AER-1"/>
    <x v="29"/>
    <x v="37"/>
    <n v="3"/>
    <n v="3"/>
    <n v="3"/>
    <n v="3"/>
    <n v="3"/>
    <n v="3"/>
    <n v="5"/>
    <n v="4"/>
    <n v="4"/>
    <n v="4"/>
    <n v="4"/>
    <n v="5"/>
    <n v="4"/>
    <n v="45"/>
  </r>
  <r>
    <n v="39"/>
    <s v="AER-1"/>
    <x v="30"/>
    <x v="38"/>
    <n v="3"/>
    <n v="3"/>
    <n v="3"/>
    <n v="3"/>
    <n v="3"/>
    <n v="4"/>
    <n v="5"/>
    <n v="4"/>
    <n v="4"/>
    <n v="3"/>
    <n v="4"/>
    <n v="4"/>
    <n v="3"/>
    <n v="43"/>
  </r>
  <r>
    <n v="40"/>
    <s v="AER-1"/>
    <x v="31"/>
    <x v="39"/>
    <n v="3"/>
    <n v="3"/>
    <n v="3"/>
    <n v="3"/>
    <n v="3"/>
    <n v="3"/>
    <n v="5"/>
    <n v="4"/>
    <n v="4"/>
    <n v="4"/>
    <n v="4"/>
    <n v="4"/>
    <n v="4"/>
    <n v="44"/>
  </r>
  <r>
    <n v="41"/>
    <s v="AER-1"/>
    <x v="32"/>
    <x v="40"/>
    <n v="4"/>
    <n v="2"/>
    <n v="2"/>
    <n v="2"/>
    <n v="2"/>
    <n v="2"/>
    <n v="5"/>
    <n v="4"/>
    <n v="3"/>
    <n v="3"/>
    <n v="3"/>
    <n v="3"/>
    <n v="3"/>
    <n v="34"/>
  </r>
  <r>
    <n v="42"/>
    <s v="AER-1"/>
    <x v="33"/>
    <x v="41"/>
    <n v="3"/>
    <n v="3"/>
    <n v="3"/>
    <n v="3"/>
    <n v="3"/>
    <n v="3"/>
    <n v="5"/>
    <n v="4"/>
    <n v="4"/>
    <n v="4"/>
    <n v="4"/>
    <n v="5"/>
    <n v="4"/>
    <n v="45"/>
  </r>
  <r>
    <n v="43"/>
    <s v="AER-1"/>
    <x v="34"/>
    <x v="42"/>
    <n v="3"/>
    <n v="3"/>
    <n v="3"/>
    <n v="3"/>
    <n v="3"/>
    <n v="3"/>
    <n v="5"/>
    <n v="4"/>
    <n v="3"/>
    <n v="3"/>
    <n v="4"/>
    <n v="4"/>
    <n v="3"/>
    <n v="41"/>
  </r>
  <r>
    <n v="44"/>
    <s v="AER-1"/>
    <x v="35"/>
    <x v="43"/>
    <n v="3"/>
    <n v="3"/>
    <n v="3"/>
    <n v="3"/>
    <n v="3"/>
    <n v="3"/>
    <n v="5"/>
    <n v="4"/>
    <n v="3"/>
    <n v="3"/>
    <n v="4"/>
    <n v="4"/>
    <n v="3"/>
    <n v="41"/>
  </r>
  <r>
    <n v="45"/>
    <s v="AER-1"/>
    <x v="36"/>
    <x v="44"/>
    <n v="3"/>
    <n v="3"/>
    <n v="3"/>
    <n v="3"/>
    <n v="3"/>
    <n v="3"/>
    <n v="5"/>
    <n v="4"/>
    <n v="3"/>
    <n v="3"/>
    <n v="4"/>
    <n v="4"/>
    <n v="3"/>
    <n v="41"/>
  </r>
  <r>
    <n v="46"/>
    <s v="AER-1"/>
    <x v="37"/>
    <x v="45"/>
    <n v="5"/>
    <n v="1"/>
    <n v="1"/>
    <n v="1"/>
    <n v="2"/>
    <n v="2"/>
    <n v="5"/>
    <n v="4"/>
    <n v="3"/>
    <n v="3"/>
    <n v="4"/>
    <n v="3"/>
    <n v="3"/>
    <n v="32"/>
  </r>
  <r>
    <n v="47"/>
    <s v="AER-1"/>
    <x v="38"/>
    <x v="46"/>
    <n v="2"/>
    <n v="5"/>
    <n v="3"/>
    <n v="3"/>
    <n v="5"/>
    <n v="5"/>
    <n v="5"/>
    <n v="3"/>
    <n v="1"/>
    <n v="1"/>
    <n v="3"/>
    <n v="5"/>
    <n v="1"/>
    <n v="40"/>
  </r>
  <r>
    <n v="48"/>
    <s v="AER-1"/>
    <x v="39"/>
    <x v="47"/>
    <n v="1"/>
    <n v="4"/>
    <n v="4"/>
    <n v="4"/>
    <n v="4"/>
    <n v="4"/>
    <n v="5"/>
    <n v="4"/>
    <n v="4"/>
    <n v="4"/>
    <n v="4"/>
    <n v="4"/>
    <n v="4"/>
    <n v="49"/>
  </r>
  <r>
    <n v="49"/>
    <s v="AER-1"/>
    <x v="40"/>
    <x v="48"/>
    <n v="1"/>
    <n v="4"/>
    <n v="4"/>
    <n v="4"/>
    <n v="4"/>
    <n v="4"/>
    <n v="5"/>
    <n v="4"/>
    <n v="4"/>
    <n v="4"/>
    <n v="4"/>
    <n v="4"/>
    <n v="4"/>
    <n v="49"/>
  </r>
  <r>
    <n v="50"/>
    <s v="AER-1"/>
    <x v="41"/>
    <x v="49"/>
    <n v="1"/>
    <n v="4"/>
    <n v="4"/>
    <n v="4"/>
    <n v="4"/>
    <n v="4"/>
    <n v="5"/>
    <n v="4"/>
    <n v="4"/>
    <n v="4"/>
    <n v="4"/>
    <n v="4"/>
    <n v="4"/>
    <n v="49"/>
  </r>
  <r>
    <n v="51"/>
    <s v="AER-1"/>
    <x v="42"/>
    <x v="50"/>
    <n v="1"/>
    <n v="4"/>
    <n v="4"/>
    <n v="4"/>
    <n v="4"/>
    <n v="4"/>
    <n v="5"/>
    <n v="4"/>
    <n v="4"/>
    <n v="4"/>
    <n v="4"/>
    <n v="4"/>
    <n v="4"/>
    <n v="49"/>
  </r>
  <r>
    <n v="52"/>
    <s v="AER-1"/>
    <x v="43"/>
    <x v="51"/>
    <n v="1"/>
    <n v="4"/>
    <n v="4"/>
    <n v="4"/>
    <n v="4"/>
    <n v="4"/>
    <n v="5"/>
    <n v="4"/>
    <n v="4"/>
    <n v="4"/>
    <n v="4"/>
    <n v="4"/>
    <n v="4"/>
    <n v="49"/>
  </r>
  <r>
    <n v="53"/>
    <s v="AER-1"/>
    <x v="44"/>
    <x v="52"/>
    <n v="1"/>
    <n v="4"/>
    <n v="4"/>
    <n v="4"/>
    <n v="4"/>
    <n v="4"/>
    <n v="5"/>
    <n v="4"/>
    <n v="4"/>
    <n v="4"/>
    <n v="4"/>
    <n v="4"/>
    <n v="4"/>
    <n v="49"/>
  </r>
  <r>
    <n v="54"/>
    <s v="AER-1"/>
    <x v="45"/>
    <x v="53"/>
    <n v="4"/>
    <n v="2"/>
    <n v="2"/>
    <n v="2"/>
    <n v="2"/>
    <n v="2"/>
    <n v="2"/>
    <n v="2"/>
    <n v="2"/>
    <n v="2"/>
    <n v="2"/>
    <n v="4"/>
    <n v="4"/>
    <n v="28"/>
  </r>
  <r>
    <n v="55"/>
    <s v="AER-1"/>
    <x v="46"/>
    <x v="54"/>
    <n v="3"/>
    <n v="2"/>
    <n v="2"/>
    <n v="2"/>
    <n v="2"/>
    <n v="5"/>
    <n v="5"/>
    <n v="4"/>
    <n v="4"/>
    <n v="4"/>
    <n v="4"/>
    <n v="4"/>
    <n v="4"/>
    <n v="42"/>
  </r>
  <r>
    <n v="56"/>
    <s v="AER-1"/>
    <x v="47"/>
    <x v="55"/>
    <n v="3"/>
    <n v="2"/>
    <n v="2"/>
    <n v="2"/>
    <n v="2"/>
    <n v="5"/>
    <n v="5"/>
    <n v="4"/>
    <n v="4"/>
    <n v="4"/>
    <n v="4"/>
    <n v="4"/>
    <n v="4"/>
    <n v="42"/>
  </r>
  <r>
    <n v="57"/>
    <s v="AER-1"/>
    <x v="48"/>
    <x v="56"/>
    <n v="5"/>
    <n v="1"/>
    <n v="1"/>
    <n v="1"/>
    <n v="1"/>
    <n v="5"/>
    <n v="5"/>
    <n v="3"/>
    <n v="2"/>
    <n v="2"/>
    <n v="3"/>
    <n v="3"/>
    <n v="2"/>
    <n v="29"/>
  </r>
  <r>
    <n v="58"/>
    <s v="AER-1"/>
    <x v="49"/>
    <x v="57"/>
    <n v="2"/>
    <n v="3"/>
    <n v="3"/>
    <n v="3"/>
    <n v="3"/>
    <n v="3"/>
    <n v="5"/>
    <n v="3"/>
    <n v="5"/>
    <n v="5"/>
    <n v="3"/>
    <n v="4"/>
    <n v="3"/>
    <n v="43"/>
  </r>
  <r>
    <n v="59"/>
    <s v="AER-1"/>
    <x v="50"/>
    <x v="58"/>
    <n v="3"/>
    <n v="3"/>
    <n v="3"/>
    <n v="3"/>
    <n v="3"/>
    <n v="3"/>
    <n v="5"/>
    <n v="4"/>
    <n v="4"/>
    <n v="4"/>
    <n v="4"/>
    <n v="4"/>
    <n v="4"/>
    <n v="44"/>
  </r>
  <r>
    <n v="60"/>
    <s v="AER-1"/>
    <x v="51"/>
    <x v="59"/>
    <n v="1"/>
    <n v="4"/>
    <n v="4"/>
    <n v="4"/>
    <n v="4"/>
    <n v="4"/>
    <n v="5"/>
    <n v="4"/>
    <n v="4"/>
    <n v="4"/>
    <n v="4"/>
    <n v="4"/>
    <n v="4"/>
    <n v="49"/>
  </r>
  <r>
    <n v="61"/>
    <s v="AER-1"/>
    <x v="52"/>
    <x v="60"/>
    <n v="3"/>
    <n v="2"/>
    <n v="2"/>
    <n v="2"/>
    <n v="2"/>
    <n v="2"/>
    <n v="5"/>
    <n v="4"/>
    <n v="3"/>
    <n v="2"/>
    <n v="4"/>
    <n v="4"/>
    <n v="2"/>
    <n v="34"/>
  </r>
  <r>
    <n v="62"/>
    <s v="AER-1"/>
    <x v="53"/>
    <x v="61"/>
    <n v="3"/>
    <n v="3"/>
    <n v="3"/>
    <n v="3"/>
    <n v="3"/>
    <n v="5"/>
    <n v="5"/>
    <n v="4"/>
    <n v="4"/>
    <n v="4"/>
    <n v="4"/>
    <n v="4"/>
    <n v="4"/>
    <n v="46"/>
  </r>
  <r>
    <n v="63"/>
    <s v="AER-1"/>
    <x v="54"/>
    <x v="62"/>
    <n v="3"/>
    <n v="3"/>
    <n v="3"/>
    <n v="3"/>
    <n v="3"/>
    <n v="3"/>
    <n v="5"/>
    <n v="4"/>
    <n v="4"/>
    <n v="4"/>
    <n v="4"/>
    <n v="4"/>
    <n v="4"/>
    <n v="44"/>
  </r>
  <r>
    <n v="64"/>
    <s v="AER-1"/>
    <x v="55"/>
    <x v="63"/>
    <n v="3"/>
    <n v="3"/>
    <n v="3"/>
    <n v="3"/>
    <n v="3"/>
    <n v="3"/>
    <n v="5"/>
    <n v="4"/>
    <n v="4"/>
    <n v="4"/>
    <n v="4"/>
    <n v="4"/>
    <n v="4"/>
    <n v="44"/>
  </r>
  <r>
    <n v="65"/>
    <s v="AER-3"/>
    <x v="56"/>
    <x v="64"/>
    <n v="5"/>
    <n v="4"/>
    <n v="4"/>
    <n v="5"/>
    <n v="5"/>
    <n v="5"/>
    <n v="2"/>
    <n v="1"/>
    <n v="1"/>
    <n v="1"/>
    <n v="1"/>
    <n v="5"/>
    <n v="1"/>
    <n v="35"/>
  </r>
  <r>
    <n v="66"/>
    <s v="AER-3"/>
    <x v="56"/>
    <x v="65"/>
    <n v="5"/>
    <n v="4"/>
    <n v="4"/>
    <n v="5"/>
    <n v="5"/>
    <n v="5"/>
    <n v="2"/>
    <n v="1"/>
    <n v="1"/>
    <n v="1"/>
    <n v="1"/>
    <n v="5"/>
    <n v="1"/>
    <n v="35"/>
  </r>
  <r>
    <n v="67"/>
    <s v="AER-3"/>
    <x v="56"/>
    <x v="66"/>
    <n v="5"/>
    <n v="3"/>
    <n v="2"/>
    <n v="5"/>
    <n v="5"/>
    <n v="5"/>
    <n v="2"/>
    <n v="1"/>
    <n v="1"/>
    <n v="1"/>
    <n v="1"/>
    <n v="5"/>
    <n v="1"/>
    <n v="32"/>
  </r>
  <r>
    <n v="68"/>
    <s v="AER-3"/>
    <x v="56"/>
    <x v="67"/>
    <n v="5"/>
    <n v="3"/>
    <n v="2"/>
    <n v="5"/>
    <n v="5"/>
    <n v="5"/>
    <n v="2"/>
    <n v="1"/>
    <n v="1"/>
    <n v="1"/>
    <n v="1"/>
    <n v="5"/>
    <n v="1"/>
    <n v="32"/>
  </r>
  <r>
    <n v="69"/>
    <s v="AER-3"/>
    <x v="56"/>
    <x v="68"/>
    <n v="5"/>
    <n v="2"/>
    <n v="1"/>
    <n v="1"/>
    <n v="5"/>
    <n v="5"/>
    <n v="2"/>
    <n v="1"/>
    <n v="1"/>
    <n v="1"/>
    <n v="1"/>
    <n v="4"/>
    <n v="1"/>
    <n v="25"/>
  </r>
  <r>
    <n v="70"/>
    <s v="AER-3"/>
    <x v="56"/>
    <x v="69"/>
    <n v="5"/>
    <n v="4"/>
    <n v="4"/>
    <n v="4"/>
    <n v="5"/>
    <n v="5"/>
    <n v="4"/>
    <n v="1"/>
    <n v="1"/>
    <n v="1"/>
    <n v="1"/>
    <n v="5"/>
    <n v="1"/>
    <n v="36"/>
  </r>
  <r>
    <n v="71"/>
    <s v="AER-3"/>
    <x v="56"/>
    <x v="70"/>
    <n v="2"/>
    <n v="3"/>
    <n v="3"/>
    <n v="3"/>
    <n v="3"/>
    <n v="3"/>
    <n v="3"/>
    <n v="3"/>
    <n v="5"/>
    <n v="5"/>
    <n v="3"/>
    <n v="3"/>
    <n v="5"/>
    <n v="42"/>
  </r>
  <r>
    <n v="72"/>
    <s v="AER-3"/>
    <x v="56"/>
    <x v="71"/>
    <n v="4"/>
    <n v="3"/>
    <n v="1"/>
    <n v="3"/>
    <n v="5"/>
    <n v="4"/>
    <n v="3"/>
    <n v="1"/>
    <n v="1"/>
    <n v="1"/>
    <n v="1"/>
    <n v="5"/>
    <n v="1"/>
    <n v="29"/>
  </r>
  <r>
    <n v="73"/>
    <s v="AER-3"/>
    <x v="56"/>
    <x v="72"/>
    <n v="2"/>
    <n v="5"/>
    <n v="3"/>
    <n v="3"/>
    <n v="5"/>
    <n v="5"/>
    <n v="5"/>
    <n v="3"/>
    <n v="1"/>
    <n v="1"/>
    <n v="3"/>
    <n v="5"/>
    <n v="1"/>
    <n v="40"/>
  </r>
  <r>
    <n v="74"/>
    <s v="AER-3"/>
    <x v="57"/>
    <x v="73"/>
    <n v="2"/>
    <n v="3"/>
    <n v="3"/>
    <n v="3"/>
    <n v="3"/>
    <n v="3"/>
    <n v="5"/>
    <n v="4"/>
    <n v="4"/>
    <n v="4"/>
    <n v="4"/>
    <n v="4"/>
    <n v="4"/>
    <n v="44"/>
  </r>
  <r>
    <n v="75"/>
    <s v="AER-3"/>
    <x v="58"/>
    <x v="74"/>
    <n v="2"/>
    <n v="3"/>
    <n v="3"/>
    <n v="3"/>
    <n v="3"/>
    <n v="3"/>
    <n v="5"/>
    <n v="4"/>
    <n v="4"/>
    <n v="4"/>
    <n v="4"/>
    <n v="4"/>
    <n v="4"/>
    <n v="44"/>
  </r>
  <r>
    <n v="76"/>
    <s v="AER-3"/>
    <x v="59"/>
    <x v="75"/>
    <n v="2"/>
    <n v="3"/>
    <n v="3"/>
    <n v="3"/>
    <n v="3"/>
    <n v="3"/>
    <n v="5"/>
    <n v="4"/>
    <n v="4"/>
    <n v="4"/>
    <n v="4"/>
    <n v="4"/>
    <n v="4"/>
    <n v="44"/>
  </r>
  <r>
    <n v="77"/>
    <s v="AER-3"/>
    <x v="60"/>
    <x v="76"/>
    <n v="3"/>
    <n v="2"/>
    <n v="2"/>
    <n v="2"/>
    <n v="2"/>
    <n v="2"/>
    <n v="5"/>
    <n v="4"/>
    <n v="4"/>
    <n v="3"/>
    <n v="4"/>
    <n v="4"/>
    <n v="3"/>
    <n v="37"/>
  </r>
  <r>
    <n v="78"/>
    <s v="AER-3"/>
    <x v="61"/>
    <x v="77"/>
    <n v="4"/>
    <n v="2"/>
    <n v="2"/>
    <n v="2"/>
    <n v="2"/>
    <n v="5"/>
    <n v="5"/>
    <n v="4"/>
    <n v="4"/>
    <n v="3"/>
    <n v="4"/>
    <n v="4"/>
    <n v="3"/>
    <n v="40"/>
  </r>
  <r>
    <n v="79"/>
    <s v="AER-3"/>
    <x v="62"/>
    <x v="78"/>
    <n v="4"/>
    <n v="2"/>
    <n v="2"/>
    <n v="2"/>
    <n v="2"/>
    <n v="5"/>
    <n v="5"/>
    <n v="4"/>
    <n v="4"/>
    <n v="3"/>
    <n v="4"/>
    <n v="4"/>
    <n v="3"/>
    <n v="40"/>
  </r>
  <r>
    <n v="80"/>
    <s v="AER-3"/>
    <x v="63"/>
    <x v="20"/>
    <n v="3"/>
    <n v="3"/>
    <n v="3"/>
    <n v="3"/>
    <n v="3"/>
    <n v="3"/>
    <n v="5"/>
    <n v="4"/>
    <n v="4"/>
    <n v="3"/>
    <n v="4"/>
    <n v="4"/>
    <n v="3"/>
    <n v="42"/>
  </r>
  <r>
    <n v="81"/>
    <s v="AER-3"/>
    <x v="64"/>
    <x v="79"/>
    <n v="3"/>
    <n v="3"/>
    <n v="3"/>
    <n v="3"/>
    <n v="3"/>
    <n v="3"/>
    <n v="5"/>
    <n v="4"/>
    <n v="4"/>
    <n v="3"/>
    <n v="4"/>
    <n v="4"/>
    <n v="3"/>
    <n v="42"/>
  </r>
  <r>
    <n v="82"/>
    <s v="AER-3"/>
    <x v="65"/>
    <x v="80"/>
    <n v="4"/>
    <n v="2"/>
    <n v="2"/>
    <n v="2"/>
    <n v="2"/>
    <n v="2"/>
    <n v="5"/>
    <n v="4"/>
    <n v="4"/>
    <n v="3"/>
    <n v="4"/>
    <n v="4"/>
    <n v="3"/>
    <n v="37"/>
  </r>
  <r>
    <n v="83"/>
    <s v="AER-3"/>
    <x v="66"/>
    <x v="81"/>
    <n v="2"/>
    <n v="3"/>
    <n v="3"/>
    <n v="3"/>
    <n v="3"/>
    <n v="3"/>
    <n v="5"/>
    <n v="4"/>
    <n v="4"/>
    <n v="4"/>
    <n v="4"/>
    <n v="4"/>
    <n v="4"/>
    <n v="44"/>
  </r>
  <r>
    <n v="84"/>
    <s v="AER-3"/>
    <x v="67"/>
    <x v="82"/>
    <n v="2"/>
    <n v="3"/>
    <n v="3"/>
    <n v="3"/>
    <n v="3"/>
    <n v="3"/>
    <n v="5"/>
    <n v="4"/>
    <n v="4"/>
    <n v="4"/>
    <n v="4"/>
    <n v="4"/>
    <n v="4"/>
    <n v="44"/>
  </r>
  <r>
    <n v="85"/>
    <s v="AER-3"/>
    <x v="68"/>
    <x v="83"/>
    <n v="5"/>
    <n v="1"/>
    <n v="1"/>
    <n v="1"/>
    <n v="2"/>
    <n v="2"/>
    <n v="5"/>
    <n v="3"/>
    <n v="4"/>
    <n v="3"/>
    <n v="3"/>
    <n v="3"/>
    <n v="3"/>
    <n v="31"/>
  </r>
  <r>
    <n v="86"/>
    <s v="AER-3"/>
    <x v="16"/>
    <x v="24"/>
    <n v="5"/>
    <n v="1"/>
    <n v="1"/>
    <n v="1"/>
    <n v="1"/>
    <n v="1"/>
    <n v="2"/>
    <n v="5"/>
    <n v="1"/>
    <n v="1"/>
    <n v="1"/>
    <n v="1"/>
    <n v="1"/>
    <n v="17"/>
  </r>
  <r>
    <n v="87"/>
    <s v="AER-3"/>
    <x v="69"/>
    <x v="84"/>
    <n v="5"/>
    <n v="1"/>
    <n v="1"/>
    <n v="1"/>
    <n v="1"/>
    <n v="1"/>
    <n v="3"/>
    <n v="1"/>
    <n v="1"/>
    <n v="1"/>
    <n v="1"/>
    <n v="5"/>
    <n v="4"/>
    <n v="21"/>
  </r>
  <r>
    <n v="88"/>
    <s v="AER-3"/>
    <x v="70"/>
    <x v="85"/>
    <n v="5"/>
    <n v="1"/>
    <n v="1"/>
    <n v="1"/>
    <n v="1"/>
    <n v="1"/>
    <n v="2"/>
    <n v="1"/>
    <n v="5"/>
    <n v="1"/>
    <n v="1"/>
    <n v="1"/>
    <n v="1"/>
    <n v="17"/>
  </r>
  <r>
    <n v="89"/>
    <s v="AER-3"/>
    <x v="71"/>
    <x v="86"/>
    <n v="5"/>
    <n v="1"/>
    <n v="1"/>
    <n v="1"/>
    <n v="1"/>
    <n v="1"/>
    <n v="2"/>
    <n v="1"/>
    <n v="5"/>
    <n v="1"/>
    <n v="1"/>
    <n v="1"/>
    <n v="1"/>
    <n v="17"/>
  </r>
  <r>
    <n v="90"/>
    <s v="AER-3"/>
    <x v="72"/>
    <x v="87"/>
    <n v="5"/>
    <n v="2"/>
    <n v="2"/>
    <n v="2"/>
    <n v="2"/>
    <n v="2"/>
    <n v="5"/>
    <n v="4"/>
    <n v="4"/>
    <n v="3"/>
    <n v="4"/>
    <n v="3"/>
    <n v="3"/>
    <n v="36"/>
  </r>
  <r>
    <n v="91"/>
    <s v="AER-3"/>
    <x v="73"/>
    <x v="88"/>
    <n v="3"/>
    <n v="2"/>
    <n v="2"/>
    <n v="2"/>
    <n v="3"/>
    <n v="3"/>
    <n v="5"/>
    <n v="4"/>
    <n v="4"/>
    <n v="4"/>
    <n v="4"/>
    <n v="4"/>
    <n v="4"/>
    <n v="41"/>
  </r>
  <r>
    <n v="92"/>
    <s v="AER-3"/>
    <x v="74"/>
    <x v="89"/>
    <n v="5"/>
    <n v="2"/>
    <n v="2"/>
    <n v="2"/>
    <n v="2"/>
    <n v="2"/>
    <n v="5"/>
    <n v="3"/>
    <n v="4"/>
    <n v="3"/>
    <n v="3"/>
    <n v="4"/>
    <n v="3"/>
    <n v="35"/>
  </r>
  <r>
    <n v="93"/>
    <s v="AER-3"/>
    <x v="75"/>
    <x v="90"/>
    <n v="3"/>
    <n v="3"/>
    <n v="3"/>
    <n v="3"/>
    <n v="3"/>
    <n v="3"/>
    <n v="5"/>
    <n v="4"/>
    <n v="4"/>
    <n v="4"/>
    <n v="4"/>
    <n v="4"/>
    <n v="4"/>
    <n v="44"/>
  </r>
  <r>
    <n v="94"/>
    <s v="AER-3"/>
    <x v="76"/>
    <x v="91"/>
    <n v="3"/>
    <n v="3"/>
    <n v="3"/>
    <n v="3"/>
    <n v="3"/>
    <n v="3"/>
    <n v="5"/>
    <n v="4"/>
    <n v="4"/>
    <n v="4"/>
    <n v="4"/>
    <n v="4"/>
    <n v="4"/>
    <n v="44"/>
  </r>
  <r>
    <n v="95"/>
    <s v="AER-3"/>
    <x v="77"/>
    <x v="92"/>
    <n v="3"/>
    <n v="3"/>
    <n v="3"/>
    <n v="3"/>
    <n v="3"/>
    <n v="3"/>
    <n v="5"/>
    <n v="4"/>
    <n v="4"/>
    <n v="4"/>
    <n v="4"/>
    <n v="4"/>
    <n v="4"/>
    <n v="44"/>
  </r>
  <r>
    <n v="96"/>
    <s v="AER-3"/>
    <x v="78"/>
    <x v="93"/>
    <n v="5"/>
    <n v="1"/>
    <n v="1"/>
    <n v="1"/>
    <n v="2"/>
    <n v="2"/>
    <n v="5"/>
    <n v="3"/>
    <n v="3"/>
    <n v="3"/>
    <n v="3"/>
    <n v="3"/>
    <n v="3"/>
    <n v="30"/>
  </r>
  <r>
    <n v="97"/>
    <s v="AER-3"/>
    <x v="79"/>
    <x v="94"/>
    <n v="4"/>
    <n v="2"/>
    <n v="2"/>
    <n v="2"/>
    <n v="2"/>
    <n v="2"/>
    <n v="5"/>
    <n v="4"/>
    <n v="4"/>
    <n v="4"/>
    <n v="4"/>
    <n v="4"/>
    <n v="3"/>
    <n v="38"/>
  </r>
  <r>
    <n v="98"/>
    <s v="AER-3"/>
    <x v="80"/>
    <x v="95"/>
    <n v="4"/>
    <n v="2"/>
    <n v="2"/>
    <n v="2"/>
    <n v="2"/>
    <n v="2"/>
    <n v="5"/>
    <n v="4"/>
    <n v="4"/>
    <n v="4"/>
    <n v="4"/>
    <n v="4"/>
    <n v="3"/>
    <n v="38"/>
  </r>
  <r>
    <n v="99"/>
    <s v="AER-3"/>
    <x v="81"/>
    <x v="96"/>
    <n v="2"/>
    <n v="3"/>
    <n v="3"/>
    <n v="3"/>
    <n v="3"/>
    <n v="3"/>
    <n v="5"/>
    <n v="4"/>
    <n v="4"/>
    <n v="4"/>
    <n v="4"/>
    <n v="4"/>
    <n v="4"/>
    <n v="44"/>
  </r>
  <r>
    <n v="100"/>
    <s v="AER-3"/>
    <x v="82"/>
    <x v="33"/>
    <n v="3"/>
    <n v="3"/>
    <n v="3"/>
    <n v="3"/>
    <n v="3"/>
    <n v="3"/>
    <n v="5"/>
    <n v="4"/>
    <n v="4"/>
    <n v="4"/>
    <n v="4"/>
    <n v="4"/>
    <n v="4"/>
    <n v="44"/>
  </r>
  <r>
    <n v="101"/>
    <s v="AER-3"/>
    <x v="83"/>
    <x v="97"/>
    <n v="3"/>
    <n v="3"/>
    <n v="3"/>
    <n v="3"/>
    <n v="3"/>
    <n v="3"/>
    <n v="5"/>
    <n v="4"/>
    <n v="4"/>
    <n v="4"/>
    <n v="4"/>
    <n v="4"/>
    <n v="4"/>
    <n v="44"/>
  </r>
  <r>
    <n v="102"/>
    <s v="AER-3"/>
    <x v="84"/>
    <x v="98"/>
    <n v="5"/>
    <n v="1"/>
    <n v="1"/>
    <n v="1"/>
    <n v="1"/>
    <n v="1"/>
    <n v="5"/>
    <n v="2"/>
    <n v="1"/>
    <n v="1"/>
    <n v="4"/>
    <n v="2"/>
    <n v="1"/>
    <n v="21"/>
  </r>
  <r>
    <n v="103"/>
    <s v="AER-3"/>
    <x v="85"/>
    <x v="99"/>
    <n v="3"/>
    <n v="2"/>
    <n v="2"/>
    <n v="2"/>
    <n v="2"/>
    <n v="2"/>
    <n v="5"/>
    <n v="4"/>
    <n v="3"/>
    <n v="3"/>
    <n v="4"/>
    <n v="4"/>
    <n v="3"/>
    <n v="36"/>
  </r>
  <r>
    <n v="104"/>
    <s v="AER-3"/>
    <x v="86"/>
    <x v="100"/>
    <n v="2"/>
    <n v="3"/>
    <n v="3"/>
    <n v="3"/>
    <n v="3"/>
    <n v="3"/>
    <n v="5"/>
    <n v="4"/>
    <n v="4"/>
    <n v="4"/>
    <n v="4"/>
    <n v="4"/>
    <n v="4"/>
    <n v="44"/>
  </r>
  <r>
    <n v="105"/>
    <s v="AER-3"/>
    <x v="87"/>
    <x v="101"/>
    <n v="2"/>
    <n v="3"/>
    <n v="3"/>
    <n v="3"/>
    <n v="3"/>
    <n v="3"/>
    <n v="5"/>
    <n v="4"/>
    <n v="4"/>
    <n v="4"/>
    <n v="4"/>
    <n v="4"/>
    <n v="4"/>
    <n v="44"/>
  </r>
  <r>
    <n v="106"/>
    <s v="AER-3"/>
    <x v="88"/>
    <x v="102"/>
    <n v="3"/>
    <n v="3"/>
    <n v="3"/>
    <n v="3"/>
    <n v="3"/>
    <n v="3"/>
    <n v="5"/>
    <n v="4"/>
    <n v="3"/>
    <n v="3"/>
    <n v="4"/>
    <n v="4"/>
    <n v="3"/>
    <n v="41"/>
  </r>
  <r>
    <n v="107"/>
    <s v="AER-3"/>
    <x v="89"/>
    <x v="103"/>
    <n v="3"/>
    <n v="3"/>
    <n v="3"/>
    <n v="3"/>
    <n v="3"/>
    <n v="3"/>
    <n v="5"/>
    <n v="4"/>
    <n v="3"/>
    <n v="3"/>
    <n v="4"/>
    <n v="4"/>
    <n v="3"/>
    <n v="41"/>
  </r>
  <r>
    <n v="108"/>
    <s v="AER-3"/>
    <x v="90"/>
    <x v="104"/>
    <n v="2"/>
    <n v="3"/>
    <n v="3"/>
    <n v="3"/>
    <n v="3"/>
    <n v="3"/>
    <n v="5"/>
    <n v="4"/>
    <n v="4"/>
    <n v="4"/>
    <n v="4"/>
    <n v="4"/>
    <n v="4"/>
    <n v="44"/>
  </r>
  <r>
    <n v="109"/>
    <s v="AER-3"/>
    <x v="91"/>
    <x v="105"/>
    <n v="2"/>
    <n v="3"/>
    <n v="3"/>
    <n v="3"/>
    <n v="3"/>
    <n v="3"/>
    <n v="5"/>
    <n v="4"/>
    <n v="4"/>
    <n v="4"/>
    <n v="4"/>
    <n v="4"/>
    <n v="4"/>
    <n v="44"/>
  </r>
  <r>
    <n v="110"/>
    <s v="AER-3"/>
    <x v="92"/>
    <x v="106"/>
    <n v="2"/>
    <n v="3"/>
    <n v="3"/>
    <n v="3"/>
    <n v="3"/>
    <n v="3"/>
    <n v="5"/>
    <n v="4"/>
    <n v="4"/>
    <n v="4"/>
    <n v="4"/>
    <n v="4"/>
    <n v="4"/>
    <n v="44"/>
  </r>
  <r>
    <n v="111"/>
    <s v="AER-3"/>
    <x v="93"/>
    <x v="107"/>
    <n v="5"/>
    <n v="2"/>
    <n v="2"/>
    <n v="2"/>
    <n v="2"/>
    <n v="2"/>
    <n v="5"/>
    <n v="4"/>
    <n v="3"/>
    <n v="3"/>
    <n v="4"/>
    <n v="3"/>
    <n v="3"/>
    <n v="35"/>
  </r>
  <r>
    <n v="112"/>
    <s v="AER-3"/>
    <x v="94"/>
    <x v="108"/>
    <n v="4"/>
    <n v="2"/>
    <n v="2"/>
    <n v="2"/>
    <n v="2"/>
    <n v="2"/>
    <n v="5"/>
    <n v="4"/>
    <n v="4"/>
    <n v="3"/>
    <n v="4"/>
    <n v="4"/>
    <n v="3"/>
    <n v="37"/>
  </r>
  <r>
    <n v="113"/>
    <s v="AER-3"/>
    <x v="95"/>
    <x v="109"/>
    <n v="5"/>
    <n v="1"/>
    <n v="1"/>
    <n v="1"/>
    <n v="1"/>
    <n v="1"/>
    <n v="1"/>
    <n v="1"/>
    <n v="5"/>
    <n v="1"/>
    <n v="1"/>
    <n v="1"/>
    <n v="1"/>
    <n v="16"/>
  </r>
  <r>
    <n v="114"/>
    <s v="AER-3"/>
    <x v="96"/>
    <x v="110"/>
    <n v="3"/>
    <n v="3"/>
    <n v="3"/>
    <n v="3"/>
    <n v="3"/>
    <n v="3"/>
    <n v="5"/>
    <n v="4"/>
    <n v="4"/>
    <n v="4"/>
    <n v="4"/>
    <n v="4"/>
    <n v="4"/>
    <n v="44"/>
  </r>
  <r>
    <n v="115"/>
    <s v="AER-3"/>
    <x v="97"/>
    <x v="111"/>
    <n v="3"/>
    <n v="3"/>
    <n v="3"/>
    <n v="3"/>
    <n v="3"/>
    <n v="3"/>
    <n v="5"/>
    <n v="4"/>
    <n v="4"/>
    <n v="4"/>
    <n v="4"/>
    <n v="4"/>
    <n v="4"/>
    <n v="44"/>
  </r>
  <r>
    <n v="116"/>
    <s v="AER-3"/>
    <x v="98"/>
    <x v="112"/>
    <n v="3"/>
    <n v="3"/>
    <n v="3"/>
    <n v="3"/>
    <n v="3"/>
    <n v="3"/>
    <n v="5"/>
    <n v="4"/>
    <n v="4"/>
    <n v="4"/>
    <n v="4"/>
    <n v="4"/>
    <n v="4"/>
    <n v="44"/>
  </r>
  <r>
    <n v="117"/>
    <s v="AER-3"/>
    <x v="99"/>
    <x v="113"/>
    <n v="3"/>
    <n v="3"/>
    <n v="3"/>
    <n v="3"/>
    <n v="3"/>
    <n v="3"/>
    <n v="5"/>
    <n v="4"/>
    <n v="4"/>
    <n v="4"/>
    <n v="4"/>
    <n v="4"/>
    <n v="4"/>
    <n v="44"/>
  </r>
  <r>
    <n v="118"/>
    <s v="AER-3"/>
    <x v="100"/>
    <x v="114"/>
    <n v="4"/>
    <n v="2"/>
    <n v="2"/>
    <n v="2"/>
    <n v="2"/>
    <n v="5"/>
    <n v="5"/>
    <n v="3"/>
    <n v="4"/>
    <n v="3"/>
    <n v="3"/>
    <n v="3"/>
    <n v="3"/>
    <n v="37"/>
  </r>
  <r>
    <n v="119"/>
    <s v="AER-3"/>
    <x v="101"/>
    <x v="115"/>
    <n v="3"/>
    <n v="3"/>
    <n v="3"/>
    <n v="3"/>
    <n v="3"/>
    <n v="3"/>
    <n v="5"/>
    <n v="4"/>
    <n v="4"/>
    <n v="4"/>
    <n v="4"/>
    <n v="4"/>
    <n v="4"/>
    <n v="44"/>
  </r>
  <r>
    <n v="120"/>
    <s v="AER-3"/>
    <x v="102"/>
    <x v="116"/>
    <n v="3"/>
    <n v="2"/>
    <n v="2"/>
    <n v="2"/>
    <n v="2"/>
    <n v="5"/>
    <n v="5"/>
    <n v="4"/>
    <n v="4"/>
    <n v="3"/>
    <n v="3"/>
    <n v="4"/>
    <n v="3"/>
    <n v="39"/>
  </r>
  <r>
    <n v="121"/>
    <s v="AER-3"/>
    <x v="103"/>
    <x v="117"/>
    <n v="4"/>
    <n v="2"/>
    <n v="2"/>
    <n v="2"/>
    <n v="2"/>
    <n v="2"/>
    <n v="5"/>
    <n v="4"/>
    <n v="4"/>
    <n v="3"/>
    <n v="4"/>
    <n v="3"/>
    <n v="3"/>
    <n v="36"/>
  </r>
  <r>
    <n v="122"/>
    <s v="AER-3"/>
    <x v="104"/>
    <x v="118"/>
    <n v="4"/>
    <n v="2"/>
    <n v="2"/>
    <n v="2"/>
    <n v="2"/>
    <n v="5"/>
    <n v="5"/>
    <n v="4"/>
    <n v="4"/>
    <n v="3"/>
    <n v="4"/>
    <n v="4"/>
    <n v="3"/>
    <n v="40"/>
  </r>
  <r>
    <n v="123"/>
    <s v="AER-3"/>
    <x v="105"/>
    <x v="119"/>
    <n v="4"/>
    <n v="2"/>
    <n v="2"/>
    <n v="2"/>
    <n v="2"/>
    <n v="5"/>
    <n v="5"/>
    <n v="4"/>
    <n v="4"/>
    <n v="3"/>
    <n v="4"/>
    <n v="4"/>
    <n v="3"/>
    <n v="40"/>
  </r>
  <r>
    <n v="124"/>
    <s v="AER-3"/>
    <x v="106"/>
    <x v="120"/>
    <n v="4"/>
    <n v="2"/>
    <n v="2"/>
    <n v="2"/>
    <n v="2"/>
    <n v="5"/>
    <n v="5"/>
    <n v="4"/>
    <n v="4"/>
    <n v="3"/>
    <n v="4"/>
    <n v="4"/>
    <n v="3"/>
    <n v="40"/>
  </r>
  <r>
    <n v="125"/>
    <s v="AER-3"/>
    <x v="45"/>
    <x v="53"/>
    <n v="4"/>
    <n v="2"/>
    <n v="2"/>
    <n v="2"/>
    <n v="2"/>
    <n v="2"/>
    <n v="5"/>
    <n v="3"/>
    <n v="3"/>
    <n v="3"/>
    <n v="3"/>
    <n v="4"/>
    <n v="4"/>
    <n v="35"/>
  </r>
  <r>
    <n v="126"/>
    <s v="AER-3"/>
    <x v="46"/>
    <x v="54"/>
    <n v="4"/>
    <n v="2"/>
    <n v="2"/>
    <n v="2"/>
    <n v="2"/>
    <n v="5"/>
    <n v="5"/>
    <n v="4"/>
    <n v="4"/>
    <n v="4"/>
    <n v="4"/>
    <n v="4"/>
    <n v="4"/>
    <n v="42"/>
  </r>
  <r>
    <n v="127"/>
    <s v="AER-3"/>
    <x v="107"/>
    <x v="121"/>
    <n v="3"/>
    <n v="3"/>
    <n v="3"/>
    <n v="3"/>
    <n v="3"/>
    <n v="3"/>
    <n v="5"/>
    <n v="4"/>
    <n v="4"/>
    <n v="4"/>
    <n v="4"/>
    <n v="4"/>
    <n v="4"/>
    <n v="44"/>
  </r>
  <r>
    <n v="128"/>
    <s v="AER-3"/>
    <x v="108"/>
    <x v="122"/>
    <n v="3"/>
    <n v="3"/>
    <n v="3"/>
    <n v="3"/>
    <n v="3"/>
    <n v="3"/>
    <n v="5"/>
    <n v="4"/>
    <n v="4"/>
    <n v="4"/>
    <n v="4"/>
    <n v="4"/>
    <n v="4"/>
    <n v="44"/>
  </r>
  <r>
    <n v="129"/>
    <s v="AER-3"/>
    <x v="109"/>
    <x v="123"/>
    <n v="5"/>
    <n v="2"/>
    <n v="2"/>
    <n v="2"/>
    <n v="2"/>
    <n v="5"/>
    <n v="5"/>
    <n v="4"/>
    <n v="3"/>
    <n v="3"/>
    <n v="3"/>
    <n v="3"/>
    <n v="3"/>
    <n v="37"/>
  </r>
  <r>
    <n v="130"/>
    <s v="AER-3"/>
    <x v="110"/>
    <x v="124"/>
    <n v="5"/>
    <n v="2"/>
    <n v="2"/>
    <n v="2"/>
    <n v="2"/>
    <n v="5"/>
    <n v="5"/>
    <n v="4"/>
    <n v="3"/>
    <n v="3"/>
    <n v="3"/>
    <n v="3"/>
    <n v="3"/>
    <n v="37"/>
  </r>
  <r>
    <n v="131"/>
    <s v="AER-3"/>
    <x v="111"/>
    <x v="125"/>
    <n v="5"/>
    <n v="1"/>
    <n v="1"/>
    <n v="1"/>
    <n v="1"/>
    <n v="1"/>
    <n v="5"/>
    <n v="1"/>
    <n v="5"/>
    <n v="1"/>
    <n v="1"/>
    <n v="1"/>
    <n v="1"/>
    <n v="20"/>
  </r>
  <r>
    <n v="132"/>
    <s v="AER-3"/>
    <x v="112"/>
    <x v="126"/>
    <n v="1"/>
    <n v="4"/>
    <n v="4"/>
    <n v="4"/>
    <n v="4"/>
    <n v="4"/>
    <n v="5"/>
    <n v="4"/>
    <n v="4"/>
    <n v="4"/>
    <n v="4"/>
    <n v="4"/>
    <n v="4"/>
    <n v="49"/>
  </r>
  <r>
    <n v="133"/>
    <s v="AER-3"/>
    <x v="113"/>
    <x v="127"/>
    <n v="1"/>
    <n v="4"/>
    <n v="4"/>
    <n v="4"/>
    <n v="4"/>
    <n v="4"/>
    <n v="5"/>
    <n v="4"/>
    <n v="4"/>
    <n v="4"/>
    <n v="4"/>
    <n v="4"/>
    <n v="4"/>
    <n v="49"/>
  </r>
  <r>
    <n v="134"/>
    <s v="AER-3"/>
    <x v="114"/>
    <x v="128"/>
    <n v="2"/>
    <n v="3"/>
    <n v="3"/>
    <n v="3"/>
    <n v="3"/>
    <n v="3"/>
    <n v="5"/>
    <n v="4"/>
    <n v="4"/>
    <n v="4"/>
    <n v="4"/>
    <n v="4"/>
    <n v="4"/>
    <n v="44"/>
  </r>
  <r>
    <n v="135"/>
    <s v="AER-3"/>
    <x v="115"/>
    <x v="129"/>
    <n v="2"/>
    <n v="3"/>
    <n v="3"/>
    <n v="3"/>
    <n v="3"/>
    <n v="5"/>
    <n v="5"/>
    <n v="4"/>
    <n v="4"/>
    <n v="4"/>
    <n v="4"/>
    <n v="4"/>
    <n v="4"/>
    <n v="46"/>
  </r>
  <r>
    <n v="136"/>
    <s v="AER-3"/>
    <x v="116"/>
    <x v="130"/>
    <n v="2"/>
    <n v="3"/>
    <n v="3"/>
    <n v="3"/>
    <n v="3"/>
    <n v="5"/>
    <n v="5"/>
    <n v="4"/>
    <n v="4"/>
    <n v="4"/>
    <n v="4"/>
    <n v="4"/>
    <n v="4"/>
    <n v="46"/>
  </r>
  <r>
    <n v="137"/>
    <s v="AER-3"/>
    <x v="117"/>
    <x v="131"/>
    <n v="3"/>
    <n v="3"/>
    <n v="3"/>
    <n v="3"/>
    <n v="3"/>
    <n v="3"/>
    <n v="5"/>
    <n v="4"/>
    <n v="4"/>
    <n v="3"/>
    <n v="3"/>
    <n v="4"/>
    <n v="3"/>
    <n v="41"/>
  </r>
  <r>
    <n v="138"/>
    <s v="DSC-1201"/>
    <x v="118"/>
    <x v="132"/>
    <n v="5"/>
    <n v="1"/>
    <n v="1"/>
    <n v="1"/>
    <n v="1"/>
    <n v="1"/>
    <n v="1"/>
    <n v="1"/>
    <n v="1"/>
    <n v="1"/>
    <n v="1"/>
    <n v="5"/>
    <n v="2"/>
    <n v="17"/>
  </r>
  <r>
    <n v="139"/>
    <s v="DSC-1201"/>
    <x v="118"/>
    <x v="133"/>
    <n v="2"/>
    <n v="2"/>
    <n v="2"/>
    <n v="2"/>
    <n v="2"/>
    <n v="2"/>
    <n v="2"/>
    <n v="3"/>
    <n v="4"/>
    <n v="3"/>
    <n v="3"/>
    <n v="5"/>
    <n v="4"/>
    <n v="34"/>
  </r>
  <r>
    <n v="140"/>
    <s v="DSC-1201"/>
    <x v="118"/>
    <x v="134"/>
    <n v="5"/>
    <n v="1"/>
    <n v="1"/>
    <n v="1"/>
    <n v="1"/>
    <n v="1"/>
    <n v="1"/>
    <n v="1"/>
    <n v="1"/>
    <n v="1"/>
    <n v="1"/>
    <n v="5"/>
    <n v="2"/>
    <n v="17"/>
  </r>
  <r>
    <n v="141"/>
    <s v="DSC-1201"/>
    <x v="118"/>
    <x v="135"/>
    <n v="2"/>
    <n v="5"/>
    <n v="3"/>
    <n v="3"/>
    <n v="5"/>
    <n v="5"/>
    <n v="5"/>
    <n v="3"/>
    <n v="1"/>
    <n v="1"/>
    <n v="3"/>
    <n v="5"/>
    <n v="1"/>
    <n v="40"/>
  </r>
  <r>
    <n v="142"/>
    <s v="DSC-1201"/>
    <x v="16"/>
    <x v="24"/>
    <n v="5"/>
    <n v="1"/>
    <n v="1"/>
    <n v="1"/>
    <n v="1"/>
    <n v="1"/>
    <n v="2"/>
    <n v="5"/>
    <n v="1"/>
    <n v="1"/>
    <n v="1"/>
    <n v="2"/>
    <n v="2"/>
    <n v="19"/>
  </r>
  <r>
    <n v="143"/>
    <s v="DSC-1201"/>
    <x v="119"/>
    <x v="136"/>
    <n v="4"/>
    <n v="2"/>
    <n v="2"/>
    <n v="2"/>
    <n v="2"/>
    <n v="2"/>
    <n v="5"/>
    <n v="3"/>
    <n v="3"/>
    <n v="3"/>
    <n v="3"/>
    <n v="5"/>
    <n v="3"/>
    <n v="35"/>
  </r>
  <r>
    <n v="144"/>
    <s v="DSC-1201"/>
    <x v="120"/>
    <x v="137"/>
    <n v="3"/>
    <n v="2"/>
    <n v="2"/>
    <n v="2"/>
    <n v="2"/>
    <n v="2"/>
    <n v="5"/>
    <n v="3"/>
    <n v="3"/>
    <n v="3"/>
    <n v="3"/>
    <n v="5"/>
    <n v="3"/>
    <n v="35"/>
  </r>
  <r>
    <n v="145"/>
    <s v="DSC-1201"/>
    <x v="121"/>
    <x v="138"/>
    <n v="3"/>
    <n v="2"/>
    <n v="2"/>
    <n v="2"/>
    <n v="2"/>
    <n v="2"/>
    <n v="5"/>
    <n v="3"/>
    <n v="3"/>
    <n v="3"/>
    <n v="3"/>
    <n v="5"/>
    <n v="3"/>
    <n v="35"/>
  </r>
  <r>
    <n v="146"/>
    <s v="DSC-1201"/>
    <x v="122"/>
    <x v="87"/>
    <n v="5"/>
    <n v="2"/>
    <n v="2"/>
    <n v="2"/>
    <n v="2"/>
    <n v="2"/>
    <n v="5"/>
    <n v="4"/>
    <n v="3"/>
    <n v="3"/>
    <n v="4"/>
    <n v="5"/>
    <n v="3"/>
    <n v="37"/>
  </r>
  <r>
    <n v="147"/>
    <s v="DSC-1201"/>
    <x v="123"/>
    <x v="139"/>
    <n v="3"/>
    <n v="2"/>
    <n v="2"/>
    <n v="2"/>
    <n v="2"/>
    <n v="2"/>
    <n v="5"/>
    <n v="3"/>
    <n v="3"/>
    <n v="3"/>
    <n v="3"/>
    <n v="5"/>
    <n v="3"/>
    <n v="35"/>
  </r>
  <r>
    <n v="148"/>
    <s v="DSC-1201"/>
    <x v="124"/>
    <x v="140"/>
    <n v="5"/>
    <n v="1"/>
    <n v="1"/>
    <n v="1"/>
    <n v="2"/>
    <n v="2"/>
    <n v="5"/>
    <n v="4"/>
    <n v="3"/>
    <n v="3"/>
    <n v="4"/>
    <n v="5"/>
    <n v="3"/>
    <n v="34"/>
  </r>
  <r>
    <n v="149"/>
    <s v="DSC-1201"/>
    <x v="125"/>
    <x v="141"/>
    <n v="4"/>
    <n v="2"/>
    <n v="2"/>
    <n v="2"/>
    <n v="2"/>
    <n v="2"/>
    <n v="5"/>
    <n v="4"/>
    <n v="4"/>
    <n v="4"/>
    <n v="4"/>
    <n v="5"/>
    <n v="4"/>
    <n v="40"/>
  </r>
  <r>
    <n v="150"/>
    <s v="DSC-1201"/>
    <x v="126"/>
    <x v="142"/>
    <n v="4"/>
    <n v="2"/>
    <n v="2"/>
    <n v="2"/>
    <n v="2"/>
    <n v="2"/>
    <n v="5"/>
    <n v="4"/>
    <n v="4"/>
    <n v="4"/>
    <n v="4"/>
    <n v="5"/>
    <n v="4"/>
    <n v="40"/>
  </r>
  <r>
    <n v="151"/>
    <s v="DSC-1201"/>
    <x v="127"/>
    <x v="143"/>
    <n v="2"/>
    <n v="2"/>
    <n v="2"/>
    <n v="2"/>
    <n v="2"/>
    <n v="2"/>
    <n v="5"/>
    <n v="4"/>
    <n v="4"/>
    <n v="4"/>
    <n v="4"/>
    <n v="5"/>
    <n v="4"/>
    <n v="40"/>
  </r>
  <r>
    <n v="152"/>
    <s v="DSC-1201"/>
    <x v="128"/>
    <x v="110"/>
    <n v="3"/>
    <n v="3"/>
    <n v="3"/>
    <n v="3"/>
    <n v="3"/>
    <n v="3"/>
    <n v="5"/>
    <n v="3"/>
    <n v="3"/>
    <n v="3"/>
    <n v="3"/>
    <n v="5"/>
    <n v="3"/>
    <n v="40"/>
  </r>
  <r>
    <n v="153"/>
    <s v="DSC-1201"/>
    <x v="129"/>
    <x v="144"/>
    <n v="4"/>
    <n v="2"/>
    <n v="2"/>
    <n v="2"/>
    <n v="2"/>
    <n v="2"/>
    <n v="5"/>
    <n v="3"/>
    <n v="3"/>
    <n v="3"/>
    <n v="3"/>
    <n v="5"/>
    <n v="3"/>
    <n v="35"/>
  </r>
  <r>
    <n v="154"/>
    <s v="DSC-1201"/>
    <x v="130"/>
    <x v="145"/>
    <n v="2"/>
    <n v="2"/>
    <n v="2"/>
    <n v="2"/>
    <n v="2"/>
    <n v="2"/>
    <n v="5"/>
    <n v="4"/>
    <n v="4"/>
    <n v="4"/>
    <n v="4"/>
    <n v="5"/>
    <n v="4"/>
    <n v="40"/>
  </r>
  <r>
    <n v="155"/>
    <s v="DSC-1201"/>
    <x v="131"/>
    <x v="146"/>
    <n v="2"/>
    <n v="2"/>
    <n v="2"/>
    <n v="2"/>
    <n v="2"/>
    <n v="2"/>
    <n v="5"/>
    <n v="4"/>
    <n v="4"/>
    <n v="4"/>
    <n v="4"/>
    <n v="5"/>
    <n v="4"/>
    <n v="40"/>
  </r>
  <r>
    <n v="156"/>
    <s v="DSC-1201"/>
    <x v="132"/>
    <x v="147"/>
    <n v="4"/>
    <n v="2"/>
    <n v="2"/>
    <n v="2"/>
    <n v="2"/>
    <n v="2"/>
    <n v="5"/>
    <n v="3"/>
    <n v="3"/>
    <n v="3"/>
    <n v="3"/>
    <n v="5"/>
    <n v="3"/>
    <n v="35"/>
  </r>
  <r>
    <n v="157"/>
    <s v="DSC-1201"/>
    <x v="133"/>
    <x v="148"/>
    <n v="4"/>
    <n v="2"/>
    <n v="2"/>
    <n v="2"/>
    <n v="2"/>
    <n v="2"/>
    <n v="5"/>
    <n v="3"/>
    <n v="3"/>
    <n v="3"/>
    <n v="3"/>
    <n v="5"/>
    <n v="3"/>
    <n v="35"/>
  </r>
  <r>
    <n v="158"/>
    <s v="MAKDA9004-01"/>
    <x v="134"/>
    <x v="149"/>
    <n v="5"/>
    <n v="3"/>
    <n v="3"/>
    <n v="3"/>
    <n v="3"/>
    <n v="2"/>
    <n v="3"/>
    <n v="3"/>
    <n v="3"/>
    <n v="3"/>
    <n v="4"/>
    <n v="5"/>
    <n v="2"/>
    <n v="37"/>
  </r>
  <r>
    <n v="159"/>
    <s v="MAKDA9004-01"/>
    <x v="134"/>
    <x v="150"/>
    <n v="2"/>
    <n v="3"/>
    <n v="3"/>
    <n v="3"/>
    <n v="3"/>
    <n v="3"/>
    <n v="3"/>
    <n v="3"/>
    <n v="4"/>
    <n v="4"/>
    <n v="4"/>
    <n v="5"/>
    <n v="4"/>
    <n v="42"/>
  </r>
  <r>
    <n v="160"/>
    <s v="MAKDA9004-01"/>
    <x v="134"/>
    <x v="151"/>
    <n v="2"/>
    <n v="3"/>
    <n v="3"/>
    <n v="3"/>
    <n v="3"/>
    <n v="2"/>
    <n v="5"/>
    <n v="3"/>
    <n v="4"/>
    <n v="4"/>
    <n v="4"/>
    <n v="5"/>
    <n v="4"/>
    <n v="43"/>
  </r>
  <r>
    <n v="161"/>
    <s v="MAKDA9004-01"/>
    <x v="135"/>
    <x v="152"/>
    <n v="4"/>
    <n v="2"/>
    <n v="2"/>
    <n v="2"/>
    <n v="2"/>
    <n v="2"/>
    <n v="5"/>
    <n v="3"/>
    <n v="3"/>
    <n v="4"/>
    <n v="4"/>
    <n v="5"/>
    <n v="3"/>
    <n v="37"/>
  </r>
  <r>
    <n v="162"/>
    <s v="MAKDA9004-01"/>
    <x v="136"/>
    <x v="153"/>
    <n v="5"/>
    <n v="1"/>
    <n v="1"/>
    <n v="1"/>
    <n v="1"/>
    <n v="1"/>
    <n v="2"/>
    <n v="5"/>
    <n v="1"/>
    <n v="1"/>
    <n v="1"/>
    <n v="1"/>
    <n v="1"/>
    <n v="17"/>
  </r>
  <r>
    <n v="163"/>
    <s v="MAKDA9004-01"/>
    <x v="137"/>
    <x v="154"/>
    <n v="4"/>
    <n v="2"/>
    <n v="2"/>
    <n v="2"/>
    <n v="2"/>
    <n v="2"/>
    <n v="4"/>
    <n v="3"/>
    <n v="3"/>
    <n v="3"/>
    <n v="4"/>
    <n v="5"/>
    <n v="3"/>
    <n v="35"/>
  </r>
  <r>
    <n v="164"/>
    <s v="MAKDA9004-01"/>
    <x v="138"/>
    <x v="155"/>
    <n v="4"/>
    <n v="2"/>
    <n v="2"/>
    <n v="2"/>
    <n v="2"/>
    <n v="2"/>
    <n v="4"/>
    <n v="3"/>
    <n v="3"/>
    <n v="3"/>
    <n v="4"/>
    <n v="5"/>
    <n v="3"/>
    <n v="35"/>
  </r>
  <r>
    <n v="165"/>
    <s v="MAKDA9004-01"/>
    <x v="139"/>
    <x v="156"/>
    <n v="4"/>
    <n v="2"/>
    <n v="2"/>
    <n v="2"/>
    <n v="2"/>
    <n v="2"/>
    <n v="4"/>
    <n v="3"/>
    <n v="3"/>
    <n v="3"/>
    <n v="4"/>
    <n v="5"/>
    <n v="3"/>
    <n v="35"/>
  </r>
  <r>
    <n v="166"/>
    <s v="MAKDA9004-01"/>
    <x v="140"/>
    <x v="157"/>
    <n v="4"/>
    <n v="2"/>
    <n v="2"/>
    <n v="2"/>
    <n v="2"/>
    <n v="2"/>
    <n v="4"/>
    <n v="3"/>
    <n v="3"/>
    <n v="3"/>
    <n v="4"/>
    <n v="5"/>
    <n v="3"/>
    <n v="35"/>
  </r>
  <r>
    <m/>
    <s v="GENEL TOPLAM"/>
    <x v="141"/>
    <x v="158"/>
    <m/>
    <n v="427"/>
    <n v="409"/>
    <n v="425"/>
    <n v="458"/>
    <n v="511"/>
    <n v="735"/>
    <n v="559"/>
    <n v="551"/>
    <n v="500"/>
    <n v="546"/>
    <n v="669"/>
    <n v="50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F5E3F-C81B-403B-AEAA-2912A2020C0F}" name="PivotTable1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1">
  <location ref="A3:N166" firstHeaderRow="0" firstDataRow="1" firstDataCol="2"/>
  <pivotFields count="18">
    <pivotField compact="0" outline="0" showAll="0" defaultSubtotal="0"/>
    <pivotField compact="0" outline="0" showAll="0" defaultSubtotal="0"/>
    <pivotField axis="axisRow" compact="0" outline="0" showAll="0" defaultSubtotal="0">
      <items count="142">
        <item x="0"/>
        <item x="56"/>
        <item x="118"/>
        <item x="134"/>
        <item x="137"/>
        <item x="138"/>
        <item x="135"/>
        <item x="139"/>
        <item x="140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48"/>
        <item x="49"/>
        <item x="57"/>
        <item x="58"/>
        <item x="59"/>
        <item x="1"/>
        <item x="2"/>
        <item x="60"/>
        <item x="3"/>
        <item x="4"/>
        <item x="61"/>
        <item x="62"/>
        <item x="5"/>
        <item x="6"/>
        <item x="7"/>
        <item x="8"/>
        <item x="9"/>
        <item x="10"/>
        <item x="11"/>
        <item x="12"/>
        <item x="13"/>
        <item x="63"/>
        <item x="14"/>
        <item x="64"/>
        <item x="65"/>
        <item x="15"/>
        <item x="66"/>
        <item x="67"/>
        <item x="68"/>
        <item x="16"/>
        <item x="136"/>
        <item x="17"/>
        <item x="18"/>
        <item x="69"/>
        <item x="70"/>
        <item x="19"/>
        <item x="20"/>
        <item x="71"/>
        <item x="72"/>
        <item x="21"/>
        <item x="73"/>
        <item x="74"/>
        <item x="75"/>
        <item x="76"/>
        <item x="77"/>
        <item x="22"/>
        <item x="78"/>
        <item x="23"/>
        <item x="79"/>
        <item x="80"/>
        <item x="81"/>
        <item x="24"/>
        <item x="25"/>
        <item x="26"/>
        <item x="27"/>
        <item x="28"/>
        <item x="29"/>
        <item x="82"/>
        <item x="83"/>
        <item x="84"/>
        <item x="85"/>
        <item x="30"/>
        <item x="86"/>
        <item x="87"/>
        <item x="31"/>
        <item x="32"/>
        <item x="33"/>
        <item x="34"/>
        <item x="35"/>
        <item x="36"/>
        <item x="88"/>
        <item x="89"/>
        <item x="90"/>
        <item x="91"/>
        <item x="92"/>
        <item x="93"/>
        <item x="94"/>
        <item x="37"/>
        <item x="95"/>
        <item x="38"/>
        <item x="96"/>
        <item x="97"/>
        <item x="98"/>
        <item x="99"/>
        <item x="100"/>
        <item x="101"/>
        <item x="102"/>
        <item x="39"/>
        <item x="40"/>
        <item x="41"/>
        <item x="42"/>
        <item x="43"/>
        <item x="44"/>
        <item x="103"/>
        <item x="104"/>
        <item x="105"/>
        <item x="106"/>
        <item x="45"/>
        <item x="46"/>
        <item x="47"/>
        <item x="107"/>
        <item x="108"/>
        <item x="50"/>
        <item x="109"/>
        <item x="110"/>
        <item x="111"/>
        <item x="51"/>
        <item x="112"/>
        <item x="113"/>
        <item x="52"/>
        <item x="114"/>
        <item x="53"/>
        <item x="115"/>
        <item x="116"/>
        <item x="117"/>
        <item x="54"/>
        <item x="55"/>
        <item h="1" x="141"/>
      </items>
    </pivotField>
    <pivotField axis="axisRow" compact="0" outline="0" showAll="0" defaultSubtotal="0">
      <items count="159">
        <item x="55"/>
        <item x="122"/>
        <item x="121"/>
        <item x="19"/>
        <item x="34"/>
        <item x="20"/>
        <item x="33"/>
        <item x="22"/>
        <item x="37"/>
        <item x="21"/>
        <item x="35"/>
        <item x="100"/>
        <item x="79"/>
        <item x="97"/>
        <item x="88"/>
        <item x="117"/>
        <item x="18"/>
        <item x="49"/>
        <item x="36"/>
        <item x="17"/>
        <item x="48"/>
        <item x="16"/>
        <item x="50"/>
        <item x="87"/>
        <item x="153"/>
        <item x="24"/>
        <item x="31"/>
        <item x="59"/>
        <item x="61"/>
        <item x="38"/>
        <item x="102"/>
        <item x="103"/>
        <item x="77"/>
        <item x="73"/>
        <item x="104"/>
        <item x="105"/>
        <item x="106"/>
        <item x="94"/>
        <item x="95"/>
        <item x="78"/>
        <item x="126"/>
        <item x="127"/>
        <item x="129"/>
        <item x="130"/>
        <item x="4"/>
        <item x="0"/>
        <item x="1"/>
        <item x="2"/>
        <item x="3"/>
        <item x="7"/>
        <item x="8"/>
        <item x="6"/>
        <item x="5"/>
        <item x="68"/>
        <item x="64"/>
        <item x="65"/>
        <item x="66"/>
        <item x="67"/>
        <item x="71"/>
        <item x="72"/>
        <item x="70"/>
        <item x="69"/>
        <item x="41"/>
        <item x="136"/>
        <item x="118"/>
        <item x="80"/>
        <item x="47"/>
        <item x="42"/>
        <item x="109"/>
        <item x="90"/>
        <item x="152"/>
        <item x="11"/>
        <item x="9"/>
        <item x="154"/>
        <item x="155"/>
        <item x="156"/>
        <item x="157"/>
        <item x="83"/>
        <item x="124"/>
        <item x="43"/>
        <item x="10"/>
        <item x="13"/>
        <item x="14"/>
        <item x="15"/>
        <item x="23"/>
        <item x="81"/>
        <item x="82"/>
        <item x="134"/>
        <item x="141"/>
        <item x="140"/>
        <item x="142"/>
        <item x="132"/>
        <item x="135"/>
        <item x="133"/>
        <item x="93"/>
        <item x="96"/>
        <item x="51"/>
        <item x="28"/>
        <item x="86"/>
        <item x="57"/>
        <item x="52"/>
        <item x="26"/>
        <item x="25"/>
        <item x="84"/>
        <item x="138"/>
        <item x="54"/>
        <item x="115"/>
        <item x="76"/>
        <item x="29"/>
        <item x="112"/>
        <item x="111"/>
        <item x="32"/>
        <item x="114"/>
        <item x="119"/>
        <item x="120"/>
        <item x="149"/>
        <item x="151"/>
        <item x="150"/>
        <item x="39"/>
        <item x="101"/>
        <item x="108"/>
        <item x="12"/>
        <item x="40"/>
        <item x="30"/>
        <item x="46"/>
        <item x="91"/>
        <item x="92"/>
        <item x="53"/>
        <item x="113"/>
        <item x="89"/>
        <item x="116"/>
        <item x="137"/>
        <item x="143"/>
        <item x="110"/>
        <item x="144"/>
        <item x="56"/>
        <item x="123"/>
        <item x="139"/>
        <item x="27"/>
        <item x="85"/>
        <item x="125"/>
        <item x="107"/>
        <item x="45"/>
        <item x="148"/>
        <item x="146"/>
        <item x="147"/>
        <item x="58"/>
        <item x="60"/>
        <item x="99"/>
        <item x="74"/>
        <item x="75"/>
        <item x="128"/>
        <item x="44"/>
        <item x="131"/>
        <item x="62"/>
        <item x="98"/>
        <item x="63"/>
        <item x="145"/>
        <item x="158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</pivotFields>
  <rowFields count="2">
    <field x="2"/>
    <field x="3"/>
  </rowFields>
  <rowItems count="163">
    <i>
      <x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1"/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2"/>
      <x v="87"/>
    </i>
    <i r="1">
      <x v="91"/>
    </i>
    <i r="1">
      <x v="92"/>
    </i>
    <i r="1">
      <x v="93"/>
    </i>
    <i>
      <x v="3"/>
      <x v="115"/>
    </i>
    <i r="1">
      <x v="116"/>
    </i>
    <i r="1">
      <x v="117"/>
    </i>
    <i>
      <x v="4"/>
      <x v="73"/>
    </i>
    <i>
      <x v="5"/>
      <x v="74"/>
    </i>
    <i>
      <x v="6"/>
      <x v="70"/>
    </i>
    <i>
      <x v="7"/>
      <x v="75"/>
    </i>
    <i>
      <x v="8"/>
      <x v="76"/>
    </i>
    <i>
      <x v="9"/>
      <x v="63"/>
    </i>
    <i>
      <x v="10"/>
      <x v="131"/>
    </i>
    <i>
      <x v="11"/>
      <x v="104"/>
    </i>
    <i>
      <x v="12"/>
      <x v="23"/>
    </i>
    <i>
      <x v="13"/>
      <x v="137"/>
    </i>
    <i>
      <x v="14"/>
      <x v="89"/>
    </i>
    <i>
      <x v="15"/>
      <x v="88"/>
    </i>
    <i>
      <x v="16"/>
      <x v="90"/>
    </i>
    <i>
      <x v="17"/>
      <x v="132"/>
    </i>
    <i>
      <x v="18"/>
      <x v="133"/>
    </i>
    <i>
      <x v="19"/>
      <x v="134"/>
    </i>
    <i>
      <x v="20"/>
      <x v="157"/>
    </i>
    <i>
      <x v="21"/>
      <x v="144"/>
    </i>
    <i>
      <x v="22"/>
      <x v="145"/>
    </i>
    <i>
      <x v="23"/>
      <x v="143"/>
    </i>
    <i>
      <x v="24"/>
      <x v="135"/>
    </i>
    <i>
      <x v="25"/>
      <x v="99"/>
    </i>
    <i>
      <x v="26"/>
      <x v="33"/>
    </i>
    <i>
      <x v="27"/>
      <x v="149"/>
    </i>
    <i>
      <x v="28"/>
      <x v="150"/>
    </i>
    <i>
      <x v="29"/>
      <x v="72"/>
    </i>
    <i>
      <x v="30"/>
      <x v="80"/>
    </i>
    <i>
      <x v="31"/>
      <x v="107"/>
    </i>
    <i>
      <x v="32"/>
      <x v="71"/>
    </i>
    <i>
      <x v="33"/>
      <x v="121"/>
    </i>
    <i>
      <x v="34"/>
      <x v="32"/>
    </i>
    <i>
      <x v="35"/>
      <x v="39"/>
    </i>
    <i>
      <x v="36"/>
      <x v="81"/>
    </i>
    <i>
      <x v="37"/>
      <x v="82"/>
    </i>
    <i>
      <x v="38"/>
      <x v="83"/>
    </i>
    <i>
      <x v="39"/>
      <x v="21"/>
    </i>
    <i>
      <x v="40"/>
      <x v="19"/>
    </i>
    <i>
      <x v="41"/>
      <x v="16"/>
    </i>
    <i>
      <x v="42"/>
      <x v="3"/>
    </i>
    <i>
      <x v="43"/>
      <x v="5"/>
    </i>
    <i>
      <x v="44"/>
      <x v="9"/>
    </i>
    <i>
      <x v="45"/>
      <x v="5"/>
    </i>
    <i>
      <x v="46"/>
      <x v="7"/>
    </i>
    <i>
      <x v="47"/>
      <x v="12"/>
    </i>
    <i>
      <x v="48"/>
      <x v="65"/>
    </i>
    <i>
      <x v="49"/>
      <x v="84"/>
    </i>
    <i>
      <x v="50"/>
      <x v="85"/>
    </i>
    <i>
      <x v="51"/>
      <x v="86"/>
    </i>
    <i>
      <x v="52"/>
      <x v="77"/>
    </i>
    <i>
      <x v="53"/>
      <x v="25"/>
    </i>
    <i>
      <x v="54"/>
      <x v="24"/>
    </i>
    <i>
      <x v="55"/>
      <x v="102"/>
    </i>
    <i>
      <x v="56"/>
      <x v="101"/>
    </i>
    <i>
      <x v="57"/>
      <x v="103"/>
    </i>
    <i>
      <x v="58"/>
      <x v="139"/>
    </i>
    <i>
      <x v="59"/>
      <x v="138"/>
    </i>
    <i>
      <x v="60"/>
      <x v="97"/>
    </i>
    <i>
      <x v="61"/>
      <x v="98"/>
    </i>
    <i>
      <x v="62"/>
      <x v="23"/>
    </i>
    <i>
      <x v="63"/>
      <x v="108"/>
    </i>
    <i>
      <x v="64"/>
      <x v="14"/>
    </i>
    <i>
      <x v="65"/>
      <x v="129"/>
    </i>
    <i>
      <x v="66"/>
      <x v="69"/>
    </i>
    <i>
      <x v="67"/>
      <x v="125"/>
    </i>
    <i>
      <x v="68"/>
      <x v="126"/>
    </i>
    <i>
      <x v="69"/>
      <x v="123"/>
    </i>
    <i>
      <x v="70"/>
      <x v="94"/>
    </i>
    <i>
      <x v="71"/>
      <x v="26"/>
    </i>
    <i>
      <x v="72"/>
      <x v="37"/>
    </i>
    <i>
      <x v="73"/>
      <x v="38"/>
    </i>
    <i>
      <x v="74"/>
      <x v="95"/>
    </i>
    <i>
      <x v="75"/>
      <x v="111"/>
    </i>
    <i>
      <x v="76"/>
      <x v="6"/>
    </i>
    <i>
      <x v="77"/>
      <x v="4"/>
    </i>
    <i>
      <x v="78"/>
      <x v="10"/>
    </i>
    <i>
      <x v="79"/>
      <x v="18"/>
    </i>
    <i>
      <x v="80"/>
      <x v="8"/>
    </i>
    <i>
      <x v="81"/>
      <x v="6"/>
    </i>
    <i>
      <x v="82"/>
      <x v="13"/>
    </i>
    <i>
      <x v="83"/>
      <x v="155"/>
    </i>
    <i>
      <x v="84"/>
      <x v="148"/>
    </i>
    <i>
      <x v="85"/>
      <x v="29"/>
    </i>
    <i>
      <x v="86"/>
      <x v="11"/>
    </i>
    <i>
      <x v="87"/>
      <x v="119"/>
    </i>
    <i>
      <x v="88"/>
      <x v="118"/>
    </i>
    <i>
      <x v="89"/>
      <x v="122"/>
    </i>
    <i>
      <x v="90"/>
      <x v="62"/>
    </i>
    <i>
      <x v="91"/>
      <x v="67"/>
    </i>
    <i>
      <x v="92"/>
      <x v="79"/>
    </i>
    <i>
      <x v="93"/>
      <x v="152"/>
    </i>
    <i>
      <x v="94"/>
      <x v="30"/>
    </i>
    <i>
      <x v="95"/>
      <x v="31"/>
    </i>
    <i>
      <x v="96"/>
      <x v="34"/>
    </i>
    <i>
      <x v="97"/>
      <x v="35"/>
    </i>
    <i>
      <x v="98"/>
      <x v="36"/>
    </i>
    <i>
      <x v="99"/>
      <x v="141"/>
    </i>
    <i>
      <x v="100"/>
      <x v="120"/>
    </i>
    <i>
      <x v="101"/>
      <x v="142"/>
    </i>
    <i>
      <x v="102"/>
      <x v="68"/>
    </i>
    <i>
      <x v="103"/>
      <x v="124"/>
    </i>
    <i>
      <x v="104"/>
      <x v="133"/>
    </i>
    <i>
      <x v="105"/>
      <x v="110"/>
    </i>
    <i>
      <x v="106"/>
      <x v="109"/>
    </i>
    <i>
      <x v="107"/>
      <x v="128"/>
    </i>
    <i>
      <x v="108"/>
      <x v="112"/>
    </i>
    <i>
      <x v="109"/>
      <x v="106"/>
    </i>
    <i>
      <x v="110"/>
      <x v="130"/>
    </i>
    <i>
      <x v="111"/>
      <x v="66"/>
    </i>
    <i>
      <x v="112"/>
      <x v="20"/>
    </i>
    <i>
      <x v="113"/>
      <x v="17"/>
    </i>
    <i>
      <x v="114"/>
      <x v="22"/>
    </i>
    <i>
      <x v="115"/>
      <x v="96"/>
    </i>
    <i>
      <x v="116"/>
      <x v="100"/>
    </i>
    <i>
      <x v="117"/>
      <x v="15"/>
    </i>
    <i>
      <x v="118"/>
      <x v="64"/>
    </i>
    <i>
      <x v="119"/>
      <x v="113"/>
    </i>
    <i>
      <x v="120"/>
      <x v="114"/>
    </i>
    <i>
      <x v="121"/>
      <x v="127"/>
    </i>
    <i>
      <x v="122"/>
      <x v="105"/>
    </i>
    <i>
      <x v="123"/>
      <x/>
    </i>
    <i>
      <x v="124"/>
      <x v="2"/>
    </i>
    <i>
      <x v="125"/>
      <x v="1"/>
    </i>
    <i>
      <x v="126"/>
      <x v="146"/>
    </i>
    <i>
      <x v="127"/>
      <x v="136"/>
    </i>
    <i>
      <x v="128"/>
      <x v="78"/>
    </i>
    <i>
      <x v="129"/>
      <x v="140"/>
    </i>
    <i>
      <x v="130"/>
      <x v="27"/>
    </i>
    <i>
      <x v="131"/>
      <x v="40"/>
    </i>
    <i>
      <x v="132"/>
      <x v="41"/>
    </i>
    <i>
      <x v="133"/>
      <x v="147"/>
    </i>
    <i>
      <x v="134"/>
      <x v="151"/>
    </i>
    <i>
      <x v="135"/>
      <x v="28"/>
    </i>
    <i>
      <x v="136"/>
      <x v="42"/>
    </i>
    <i>
      <x v="137"/>
      <x v="43"/>
    </i>
    <i>
      <x v="138"/>
      <x v="153"/>
    </i>
    <i>
      <x v="139"/>
      <x v="154"/>
    </i>
    <i>
      <x v="140"/>
      <x v="15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Toplam M.FURKAN YAVUZ" fld="9" baseField="0" baseItem="0"/>
    <dataField name="Toplam KAĞAN UDUM" fld="8" baseField="0" baseItem="0"/>
    <dataField name="Toplam İZZET ATAKAN DEMİR" fld="5" baseField="0" baseItem="0"/>
    <dataField name="Toplam MEHMET KAPLAN" fld="6" baseField="0" baseItem="0"/>
    <dataField name="Toplam TOLGAHAN ÇEBİ" fld="7" baseField="0" baseItem="0"/>
    <dataField name="Toplam ÖZER KOÇ" fld="10" baseField="0" baseItem="0"/>
    <dataField name="Toplam VOLKAN KAVLAK" fld="15" baseField="0" baseItem="0"/>
    <dataField name="Toplam HANDE GÜNAYDIN" fld="13" baseField="0" baseItem="0"/>
    <dataField name="Toplam SEMRA ULTAV" fld="12" baseField="0" baseItem="0"/>
    <dataField name="Toplam SULTAN SOLAK" fld="16" baseField="0" baseItem="0"/>
    <dataField name="Toplam MUSA HIZIR" fld="14" baseField="0" baseItem="0"/>
    <dataField name="Toplam ÖMER POLAT" fld="11" baseField="0" baseItem="0"/>
  </dataFields>
  <formats count="162">
    <format dxfId="172">
      <pivotArea type="all" dataOnly="0" outline="0" fieldPosition="0"/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9">
      <pivotArea dataOnly="0" labelOnly="1" outline="0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8">
      <pivotArea dataOnly="0" labelOnly="1" outline="0" fieldPosition="0">
        <references count="1">
          <reference field="2" count="42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</reference>
        </references>
      </pivotArea>
    </format>
    <format dxfId="167">
      <pivotArea dataOnly="0" labelOnly="1" grandRow="1" outline="0" fieldPosition="0"/>
    </format>
    <format dxfId="166">
      <pivotArea dataOnly="0" labelOnly="1" outline="0" fieldPosition="0">
        <references count="2">
          <reference field="2" count="1" selected="0">
            <x v="0"/>
          </reference>
          <reference field="3" count="9"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65">
      <pivotArea dataOnly="0" labelOnly="1" outline="0" fieldPosition="0">
        <references count="2">
          <reference field="2" count="1" selected="0">
            <x v="1"/>
          </reference>
          <reference field="3" count="9">
            <x v="53"/>
            <x v="54"/>
            <x v="55"/>
            <x v="56"/>
            <x v="57"/>
            <x v="58"/>
            <x v="59"/>
            <x v="60"/>
            <x v="61"/>
          </reference>
        </references>
      </pivotArea>
    </format>
    <format dxfId="164">
      <pivotArea dataOnly="0" labelOnly="1" outline="0" fieldPosition="0">
        <references count="2">
          <reference field="2" count="1" selected="0">
            <x v="2"/>
          </reference>
          <reference field="3" count="4">
            <x v="87"/>
            <x v="91"/>
            <x v="92"/>
            <x v="93"/>
          </reference>
        </references>
      </pivotArea>
    </format>
    <format dxfId="163">
      <pivotArea dataOnly="0" labelOnly="1" outline="0" fieldPosition="0">
        <references count="2">
          <reference field="2" count="1" selected="0">
            <x v="3"/>
          </reference>
          <reference field="3" count="3">
            <x v="115"/>
            <x v="116"/>
            <x v="117"/>
          </reference>
        </references>
      </pivotArea>
    </format>
    <format dxfId="162">
      <pivotArea dataOnly="0" labelOnly="1" outline="0" fieldPosition="0">
        <references count="2">
          <reference field="2" count="1" selected="0">
            <x v="4"/>
          </reference>
          <reference field="3" count="1">
            <x v="73"/>
          </reference>
        </references>
      </pivotArea>
    </format>
    <format dxfId="161">
      <pivotArea dataOnly="0" labelOnly="1" outline="0" fieldPosition="0">
        <references count="2">
          <reference field="2" count="1" selected="0">
            <x v="5"/>
          </reference>
          <reference field="3" count="1">
            <x v="74"/>
          </reference>
        </references>
      </pivotArea>
    </format>
    <format dxfId="160">
      <pivotArea dataOnly="0" labelOnly="1" outline="0" fieldPosition="0">
        <references count="2">
          <reference field="2" count="1" selected="0">
            <x v="6"/>
          </reference>
          <reference field="3" count="1">
            <x v="70"/>
          </reference>
        </references>
      </pivotArea>
    </format>
    <format dxfId="159">
      <pivotArea dataOnly="0" labelOnly="1" outline="0" fieldPosition="0">
        <references count="2">
          <reference field="2" count="1" selected="0">
            <x v="7"/>
          </reference>
          <reference field="3" count="1">
            <x v="75"/>
          </reference>
        </references>
      </pivotArea>
    </format>
    <format dxfId="158">
      <pivotArea dataOnly="0" labelOnly="1" outline="0" fieldPosition="0">
        <references count="2">
          <reference field="2" count="1" selected="0">
            <x v="8"/>
          </reference>
          <reference field="3" count="1">
            <x v="76"/>
          </reference>
        </references>
      </pivotArea>
    </format>
    <format dxfId="157">
      <pivotArea dataOnly="0" labelOnly="1" outline="0" fieldPosition="0">
        <references count="2">
          <reference field="2" count="1" selected="0">
            <x v="9"/>
          </reference>
          <reference field="3" count="1">
            <x v="63"/>
          </reference>
        </references>
      </pivotArea>
    </format>
    <format dxfId="156">
      <pivotArea dataOnly="0" labelOnly="1" outline="0" fieldPosition="0">
        <references count="2">
          <reference field="2" count="1" selected="0">
            <x v="10"/>
          </reference>
          <reference field="3" count="1">
            <x v="131"/>
          </reference>
        </references>
      </pivotArea>
    </format>
    <format dxfId="155">
      <pivotArea dataOnly="0" labelOnly="1" outline="0" fieldPosition="0">
        <references count="2">
          <reference field="2" count="1" selected="0">
            <x v="11"/>
          </reference>
          <reference field="3" count="1">
            <x v="104"/>
          </reference>
        </references>
      </pivotArea>
    </format>
    <format dxfId="154">
      <pivotArea dataOnly="0" labelOnly="1" outline="0" fieldPosition="0">
        <references count="2">
          <reference field="2" count="1" selected="0">
            <x v="12"/>
          </reference>
          <reference field="3" count="1">
            <x v="23"/>
          </reference>
        </references>
      </pivotArea>
    </format>
    <format dxfId="153">
      <pivotArea dataOnly="0" labelOnly="1" outline="0" fieldPosition="0">
        <references count="2">
          <reference field="2" count="1" selected="0">
            <x v="13"/>
          </reference>
          <reference field="3" count="1">
            <x v="137"/>
          </reference>
        </references>
      </pivotArea>
    </format>
    <format dxfId="152">
      <pivotArea dataOnly="0" labelOnly="1" outline="0" fieldPosition="0">
        <references count="2">
          <reference field="2" count="1" selected="0">
            <x v="14"/>
          </reference>
          <reference field="3" count="1">
            <x v="89"/>
          </reference>
        </references>
      </pivotArea>
    </format>
    <format dxfId="151">
      <pivotArea dataOnly="0" labelOnly="1" outline="0" fieldPosition="0">
        <references count="2">
          <reference field="2" count="1" selected="0">
            <x v="15"/>
          </reference>
          <reference field="3" count="1">
            <x v="88"/>
          </reference>
        </references>
      </pivotArea>
    </format>
    <format dxfId="150">
      <pivotArea dataOnly="0" labelOnly="1" outline="0" fieldPosition="0">
        <references count="2">
          <reference field="2" count="1" selected="0">
            <x v="16"/>
          </reference>
          <reference field="3" count="1">
            <x v="90"/>
          </reference>
        </references>
      </pivotArea>
    </format>
    <format dxfId="149">
      <pivotArea dataOnly="0" labelOnly="1" outline="0" fieldPosition="0">
        <references count="2">
          <reference field="2" count="1" selected="0">
            <x v="17"/>
          </reference>
          <reference field="3" count="1">
            <x v="132"/>
          </reference>
        </references>
      </pivotArea>
    </format>
    <format dxfId="148">
      <pivotArea dataOnly="0" labelOnly="1" outline="0" fieldPosition="0">
        <references count="2">
          <reference field="2" count="1" selected="0">
            <x v="18"/>
          </reference>
          <reference field="3" count="1">
            <x v="133"/>
          </reference>
        </references>
      </pivotArea>
    </format>
    <format dxfId="147">
      <pivotArea dataOnly="0" labelOnly="1" outline="0" fieldPosition="0">
        <references count="2">
          <reference field="2" count="1" selected="0">
            <x v="19"/>
          </reference>
          <reference field="3" count="1">
            <x v="134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20"/>
          </reference>
          <reference field="3" count="1">
            <x v="157"/>
          </reference>
        </references>
      </pivotArea>
    </format>
    <format dxfId="145">
      <pivotArea dataOnly="0" labelOnly="1" outline="0" fieldPosition="0">
        <references count="2">
          <reference field="2" count="1" selected="0">
            <x v="21"/>
          </reference>
          <reference field="3" count="1">
            <x v="144"/>
          </reference>
        </references>
      </pivotArea>
    </format>
    <format dxfId="144">
      <pivotArea dataOnly="0" labelOnly="1" outline="0" fieldPosition="0">
        <references count="2">
          <reference field="2" count="1" selected="0">
            <x v="22"/>
          </reference>
          <reference field="3" count="1">
            <x v="145"/>
          </reference>
        </references>
      </pivotArea>
    </format>
    <format dxfId="143">
      <pivotArea dataOnly="0" labelOnly="1" outline="0" fieldPosition="0">
        <references count="2">
          <reference field="2" count="1" selected="0">
            <x v="23"/>
          </reference>
          <reference field="3" count="1">
            <x v="143"/>
          </reference>
        </references>
      </pivotArea>
    </format>
    <format dxfId="142">
      <pivotArea dataOnly="0" labelOnly="1" outline="0" fieldPosition="0">
        <references count="2">
          <reference field="2" count="1" selected="0">
            <x v="24"/>
          </reference>
          <reference field="3" count="1">
            <x v="135"/>
          </reference>
        </references>
      </pivotArea>
    </format>
    <format dxfId="141">
      <pivotArea dataOnly="0" labelOnly="1" outline="0" fieldPosition="0">
        <references count="2">
          <reference field="2" count="1" selected="0">
            <x v="25"/>
          </reference>
          <reference field="3" count="1">
            <x v="99"/>
          </reference>
        </references>
      </pivotArea>
    </format>
    <format dxfId="140">
      <pivotArea dataOnly="0" labelOnly="1" outline="0" fieldPosition="0">
        <references count="2">
          <reference field="2" count="1" selected="0">
            <x v="26"/>
          </reference>
          <reference field="3" count="1">
            <x v="33"/>
          </reference>
        </references>
      </pivotArea>
    </format>
    <format dxfId="139">
      <pivotArea dataOnly="0" labelOnly="1" outline="0" fieldPosition="0">
        <references count="2">
          <reference field="2" count="1" selected="0">
            <x v="27"/>
          </reference>
          <reference field="3" count="1">
            <x v="149"/>
          </reference>
        </references>
      </pivotArea>
    </format>
    <format dxfId="138">
      <pivotArea dataOnly="0" labelOnly="1" outline="0" fieldPosition="0">
        <references count="2">
          <reference field="2" count="1" selected="0">
            <x v="28"/>
          </reference>
          <reference field="3" count="1">
            <x v="150"/>
          </reference>
        </references>
      </pivotArea>
    </format>
    <format dxfId="137">
      <pivotArea dataOnly="0" labelOnly="1" outline="0" fieldPosition="0">
        <references count="2">
          <reference field="2" count="1" selected="0">
            <x v="29"/>
          </reference>
          <reference field="3" count="1">
            <x v="72"/>
          </reference>
        </references>
      </pivotArea>
    </format>
    <format dxfId="136">
      <pivotArea dataOnly="0" labelOnly="1" outline="0" fieldPosition="0">
        <references count="2">
          <reference field="2" count="1" selected="0">
            <x v="30"/>
          </reference>
          <reference field="3" count="1">
            <x v="80"/>
          </reference>
        </references>
      </pivotArea>
    </format>
    <format dxfId="135">
      <pivotArea dataOnly="0" labelOnly="1" outline="0" fieldPosition="0">
        <references count="2">
          <reference field="2" count="1" selected="0">
            <x v="31"/>
          </reference>
          <reference field="3" count="1">
            <x v="107"/>
          </reference>
        </references>
      </pivotArea>
    </format>
    <format dxfId="134">
      <pivotArea dataOnly="0" labelOnly="1" outline="0" fieldPosition="0">
        <references count="2">
          <reference field="2" count="1" selected="0">
            <x v="32"/>
          </reference>
          <reference field="3" count="1">
            <x v="71"/>
          </reference>
        </references>
      </pivotArea>
    </format>
    <format dxfId="133">
      <pivotArea dataOnly="0" labelOnly="1" outline="0" fieldPosition="0">
        <references count="2">
          <reference field="2" count="1" selected="0">
            <x v="33"/>
          </reference>
          <reference field="3" count="1">
            <x v="121"/>
          </reference>
        </references>
      </pivotArea>
    </format>
    <format dxfId="132">
      <pivotArea dataOnly="0" labelOnly="1" outline="0" fieldPosition="0">
        <references count="2">
          <reference field="2" count="1" selected="0">
            <x v="34"/>
          </reference>
          <reference field="3" count="1">
            <x v="32"/>
          </reference>
        </references>
      </pivotArea>
    </format>
    <format dxfId="131">
      <pivotArea dataOnly="0" labelOnly="1" outline="0" fieldPosition="0">
        <references count="2">
          <reference field="2" count="1" selected="0">
            <x v="35"/>
          </reference>
          <reference field="3" count="1">
            <x v="39"/>
          </reference>
        </references>
      </pivotArea>
    </format>
    <format dxfId="130">
      <pivotArea dataOnly="0" labelOnly="1" outline="0" fieldPosition="0">
        <references count="2">
          <reference field="2" count="1" selected="0">
            <x v="36"/>
          </reference>
          <reference field="3" count="1">
            <x v="81"/>
          </reference>
        </references>
      </pivotArea>
    </format>
    <format dxfId="129">
      <pivotArea dataOnly="0" labelOnly="1" outline="0" fieldPosition="0">
        <references count="2">
          <reference field="2" count="1" selected="0">
            <x v="37"/>
          </reference>
          <reference field="3" count="1">
            <x v="82"/>
          </reference>
        </references>
      </pivotArea>
    </format>
    <format dxfId="128">
      <pivotArea dataOnly="0" labelOnly="1" outline="0" fieldPosition="0">
        <references count="2">
          <reference field="2" count="1" selected="0">
            <x v="38"/>
          </reference>
          <reference field="3" count="1">
            <x v="83"/>
          </reference>
        </references>
      </pivotArea>
    </format>
    <format dxfId="127">
      <pivotArea dataOnly="0" labelOnly="1" outline="0" fieldPosition="0">
        <references count="2">
          <reference field="2" count="1" selected="0">
            <x v="39"/>
          </reference>
          <reference field="3" count="1">
            <x v="21"/>
          </reference>
        </references>
      </pivotArea>
    </format>
    <format dxfId="126">
      <pivotArea dataOnly="0" labelOnly="1" outline="0" fieldPosition="0">
        <references count="2">
          <reference field="2" count="1" selected="0">
            <x v="40"/>
          </reference>
          <reference field="3" count="1">
            <x v="19"/>
          </reference>
        </references>
      </pivotArea>
    </format>
    <format dxfId="125">
      <pivotArea dataOnly="0" labelOnly="1" outline="0" fieldPosition="0">
        <references count="2">
          <reference field="2" count="1" selected="0">
            <x v="41"/>
          </reference>
          <reference field="3" count="1">
            <x v="16"/>
          </reference>
        </references>
      </pivotArea>
    </format>
    <format dxfId="124">
      <pivotArea dataOnly="0" labelOnly="1" outline="0" fieldPosition="0">
        <references count="2">
          <reference field="2" count="1" selected="0">
            <x v="42"/>
          </reference>
          <reference field="3" count="1">
            <x v="3"/>
          </reference>
        </references>
      </pivotArea>
    </format>
    <format dxfId="123">
      <pivotArea dataOnly="0" labelOnly="1" outline="0" fieldPosition="0">
        <references count="2">
          <reference field="2" count="1" selected="0">
            <x v="43"/>
          </reference>
          <reference field="3" count="1">
            <x v="5"/>
          </reference>
        </references>
      </pivotArea>
    </format>
    <format dxfId="122">
      <pivotArea dataOnly="0" labelOnly="1" outline="0" fieldPosition="0">
        <references count="2">
          <reference field="2" count="1" selected="0">
            <x v="44"/>
          </reference>
          <reference field="3" count="1">
            <x v="9"/>
          </reference>
        </references>
      </pivotArea>
    </format>
    <format dxfId="121">
      <pivotArea dataOnly="0" labelOnly="1" outline="0" fieldPosition="0">
        <references count="2">
          <reference field="2" count="1" selected="0">
            <x v="45"/>
          </reference>
          <reference field="3" count="1">
            <x v="5"/>
          </reference>
        </references>
      </pivotArea>
    </format>
    <format dxfId="120">
      <pivotArea dataOnly="0" labelOnly="1" outline="0" fieldPosition="0">
        <references count="2">
          <reference field="2" count="1" selected="0">
            <x v="46"/>
          </reference>
          <reference field="3" count="1">
            <x v="7"/>
          </reference>
        </references>
      </pivotArea>
    </format>
    <format dxfId="119">
      <pivotArea dataOnly="0" labelOnly="1" outline="0" fieldPosition="0">
        <references count="2">
          <reference field="2" count="1" selected="0">
            <x v="47"/>
          </reference>
          <reference field="3" count="1">
            <x v="12"/>
          </reference>
        </references>
      </pivotArea>
    </format>
    <format dxfId="118">
      <pivotArea dataOnly="0" labelOnly="1" outline="0" fieldPosition="0">
        <references count="2">
          <reference field="2" count="1" selected="0">
            <x v="48"/>
          </reference>
          <reference field="3" count="1">
            <x v="65"/>
          </reference>
        </references>
      </pivotArea>
    </format>
    <format dxfId="117">
      <pivotArea dataOnly="0" labelOnly="1" outline="0" fieldPosition="0">
        <references count="2">
          <reference field="2" count="1" selected="0">
            <x v="49"/>
          </reference>
          <reference field="3" count="1">
            <x v="84"/>
          </reference>
        </references>
      </pivotArea>
    </format>
    <format dxfId="116">
      <pivotArea dataOnly="0" labelOnly="1" outline="0" fieldPosition="0">
        <references count="2">
          <reference field="2" count="1" selected="0">
            <x v="50"/>
          </reference>
          <reference field="3" count="1">
            <x v="85"/>
          </reference>
        </references>
      </pivotArea>
    </format>
    <format dxfId="115">
      <pivotArea dataOnly="0" labelOnly="1" outline="0" fieldPosition="0">
        <references count="2">
          <reference field="2" count="1" selected="0">
            <x v="51"/>
          </reference>
          <reference field="3" count="1">
            <x v="86"/>
          </reference>
        </references>
      </pivotArea>
    </format>
    <format dxfId="114">
      <pivotArea dataOnly="0" labelOnly="1" outline="0" fieldPosition="0">
        <references count="2">
          <reference field="2" count="1" selected="0">
            <x v="52"/>
          </reference>
          <reference field="3" count="1">
            <x v="77"/>
          </reference>
        </references>
      </pivotArea>
    </format>
    <format dxfId="113">
      <pivotArea dataOnly="0" labelOnly="1" outline="0" fieldPosition="0">
        <references count="2">
          <reference field="2" count="1" selected="0">
            <x v="53"/>
          </reference>
          <reference field="3" count="1">
            <x v="25"/>
          </reference>
        </references>
      </pivotArea>
    </format>
    <format dxfId="112">
      <pivotArea dataOnly="0" labelOnly="1" outline="0" fieldPosition="0">
        <references count="2">
          <reference field="2" count="1" selected="0">
            <x v="54"/>
          </reference>
          <reference field="3" count="1">
            <x v="24"/>
          </reference>
        </references>
      </pivotArea>
    </format>
    <format dxfId="111">
      <pivotArea dataOnly="0" labelOnly="1" outline="0" fieldPosition="0">
        <references count="2">
          <reference field="2" count="1" selected="0">
            <x v="55"/>
          </reference>
          <reference field="3" count="1">
            <x v="102"/>
          </reference>
        </references>
      </pivotArea>
    </format>
    <format dxfId="110">
      <pivotArea dataOnly="0" labelOnly="1" outline="0" fieldPosition="0">
        <references count="2">
          <reference field="2" count="1" selected="0">
            <x v="56"/>
          </reference>
          <reference field="3" count="1">
            <x v="101"/>
          </reference>
        </references>
      </pivotArea>
    </format>
    <format dxfId="109">
      <pivotArea dataOnly="0" labelOnly="1" outline="0" fieldPosition="0">
        <references count="2">
          <reference field="2" count="1" selected="0">
            <x v="57"/>
          </reference>
          <reference field="3" count="1">
            <x v="103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58"/>
          </reference>
          <reference field="3" count="1">
            <x v="139"/>
          </reference>
        </references>
      </pivotArea>
    </format>
    <format dxfId="107">
      <pivotArea dataOnly="0" labelOnly="1" outline="0" fieldPosition="0">
        <references count="2">
          <reference field="2" count="1" selected="0">
            <x v="59"/>
          </reference>
          <reference field="3" count="1">
            <x v="138"/>
          </reference>
        </references>
      </pivotArea>
    </format>
    <format dxfId="106">
      <pivotArea dataOnly="0" labelOnly="1" outline="0" fieldPosition="0">
        <references count="2">
          <reference field="2" count="1" selected="0">
            <x v="60"/>
          </reference>
          <reference field="3" count="1">
            <x v="97"/>
          </reference>
        </references>
      </pivotArea>
    </format>
    <format dxfId="105">
      <pivotArea dataOnly="0" labelOnly="1" outline="0" fieldPosition="0">
        <references count="2">
          <reference field="2" count="1" selected="0">
            <x v="61"/>
          </reference>
          <reference field="3" count="1">
            <x v="98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62"/>
          </reference>
          <reference field="3" count="1">
            <x v="23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63"/>
          </reference>
          <reference field="3" count="1">
            <x v="108"/>
          </reference>
        </references>
      </pivotArea>
    </format>
    <format dxfId="102">
      <pivotArea dataOnly="0" labelOnly="1" outline="0" fieldPosition="0">
        <references count="2">
          <reference field="2" count="1" selected="0">
            <x v="64"/>
          </reference>
          <reference field="3" count="1">
            <x v="14"/>
          </reference>
        </references>
      </pivotArea>
    </format>
    <format dxfId="101">
      <pivotArea dataOnly="0" labelOnly="1" outline="0" fieldPosition="0">
        <references count="2">
          <reference field="2" count="1" selected="0">
            <x v="65"/>
          </reference>
          <reference field="3" count="1">
            <x v="129"/>
          </reference>
        </references>
      </pivotArea>
    </format>
    <format dxfId="100">
      <pivotArea dataOnly="0" labelOnly="1" outline="0" fieldPosition="0">
        <references count="2">
          <reference field="2" count="1" selected="0">
            <x v="66"/>
          </reference>
          <reference field="3" count="1">
            <x v="69"/>
          </reference>
        </references>
      </pivotArea>
    </format>
    <format dxfId="99">
      <pivotArea dataOnly="0" labelOnly="1" outline="0" fieldPosition="0">
        <references count="2">
          <reference field="2" count="1" selected="0">
            <x v="67"/>
          </reference>
          <reference field="3" count="1">
            <x v="125"/>
          </reference>
        </references>
      </pivotArea>
    </format>
    <format dxfId="98">
      <pivotArea dataOnly="0" labelOnly="1" outline="0" fieldPosition="0">
        <references count="2">
          <reference field="2" count="1" selected="0">
            <x v="68"/>
          </reference>
          <reference field="3" count="1">
            <x v="126"/>
          </reference>
        </references>
      </pivotArea>
    </format>
    <format dxfId="97">
      <pivotArea dataOnly="0" labelOnly="1" outline="0" fieldPosition="0">
        <references count="2">
          <reference field="2" count="1" selected="0">
            <x v="69"/>
          </reference>
          <reference field="3" count="1">
            <x v="123"/>
          </reference>
        </references>
      </pivotArea>
    </format>
    <format dxfId="96">
      <pivotArea dataOnly="0" labelOnly="1" outline="0" fieldPosition="0">
        <references count="2">
          <reference field="2" count="1" selected="0">
            <x v="70"/>
          </reference>
          <reference field="3" count="1">
            <x v="94"/>
          </reference>
        </references>
      </pivotArea>
    </format>
    <format dxfId="95">
      <pivotArea dataOnly="0" labelOnly="1" outline="0" fieldPosition="0">
        <references count="2">
          <reference field="2" count="1" selected="0">
            <x v="71"/>
          </reference>
          <reference field="3" count="1">
            <x v="26"/>
          </reference>
        </references>
      </pivotArea>
    </format>
    <format dxfId="94">
      <pivotArea dataOnly="0" labelOnly="1" outline="0" fieldPosition="0">
        <references count="2">
          <reference field="2" count="1" selected="0">
            <x v="72"/>
          </reference>
          <reference field="3" count="1">
            <x v="37"/>
          </reference>
        </references>
      </pivotArea>
    </format>
    <format dxfId="93">
      <pivotArea dataOnly="0" labelOnly="1" outline="0" fieldPosition="0">
        <references count="2">
          <reference field="2" count="1" selected="0">
            <x v="73"/>
          </reference>
          <reference field="3" count="1">
            <x v="38"/>
          </reference>
        </references>
      </pivotArea>
    </format>
    <format dxfId="92">
      <pivotArea dataOnly="0" labelOnly="1" outline="0" fieldPosition="0">
        <references count="2">
          <reference field="2" count="1" selected="0">
            <x v="74"/>
          </reference>
          <reference field="3" count="1">
            <x v="95"/>
          </reference>
        </references>
      </pivotArea>
    </format>
    <format dxfId="91">
      <pivotArea dataOnly="0" labelOnly="1" outline="0" fieldPosition="0">
        <references count="2">
          <reference field="2" count="1" selected="0">
            <x v="75"/>
          </reference>
          <reference field="3" count="1">
            <x v="111"/>
          </reference>
        </references>
      </pivotArea>
    </format>
    <format dxfId="90">
      <pivotArea dataOnly="0" labelOnly="1" outline="0" fieldPosition="0">
        <references count="2">
          <reference field="2" count="1" selected="0">
            <x v="76"/>
          </reference>
          <reference field="3" count="1">
            <x v="6"/>
          </reference>
        </references>
      </pivotArea>
    </format>
    <format dxfId="89">
      <pivotArea dataOnly="0" labelOnly="1" outline="0" fieldPosition="0">
        <references count="2">
          <reference field="2" count="1" selected="0">
            <x v="77"/>
          </reference>
          <reference field="3" count="1">
            <x v="4"/>
          </reference>
        </references>
      </pivotArea>
    </format>
    <format dxfId="88">
      <pivotArea dataOnly="0" labelOnly="1" outline="0" fieldPosition="0">
        <references count="2">
          <reference field="2" count="1" selected="0">
            <x v="78"/>
          </reference>
          <reference field="3" count="1">
            <x v="10"/>
          </reference>
        </references>
      </pivotArea>
    </format>
    <format dxfId="87">
      <pivotArea dataOnly="0" labelOnly="1" outline="0" fieldPosition="0">
        <references count="2">
          <reference field="2" count="1" selected="0">
            <x v="79"/>
          </reference>
          <reference field="3" count="1">
            <x v="18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80"/>
          </reference>
          <reference field="3" count="1">
            <x v="8"/>
          </reference>
        </references>
      </pivotArea>
    </format>
    <format dxfId="85">
      <pivotArea dataOnly="0" labelOnly="1" outline="0" fieldPosition="0">
        <references count="2">
          <reference field="2" count="1" selected="0">
            <x v="81"/>
          </reference>
          <reference field="3" count="1">
            <x v="6"/>
          </reference>
        </references>
      </pivotArea>
    </format>
    <format dxfId="84">
      <pivotArea dataOnly="0" labelOnly="1" outline="0" fieldPosition="0">
        <references count="2">
          <reference field="2" count="1" selected="0">
            <x v="82"/>
          </reference>
          <reference field="3" count="1">
            <x v="13"/>
          </reference>
        </references>
      </pivotArea>
    </format>
    <format dxfId="83">
      <pivotArea dataOnly="0" labelOnly="1" outline="0" fieldPosition="0">
        <references count="2">
          <reference field="2" count="1" selected="0">
            <x v="83"/>
          </reference>
          <reference field="3" count="1">
            <x v="155"/>
          </reference>
        </references>
      </pivotArea>
    </format>
    <format dxfId="82">
      <pivotArea dataOnly="0" labelOnly="1" outline="0" fieldPosition="0">
        <references count="2">
          <reference field="2" count="1" selected="0">
            <x v="84"/>
          </reference>
          <reference field="3" count="1">
            <x v="148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85"/>
          </reference>
          <reference field="3" count="1">
            <x v="29"/>
          </reference>
        </references>
      </pivotArea>
    </format>
    <format dxfId="80">
      <pivotArea dataOnly="0" labelOnly="1" outline="0" fieldPosition="0">
        <references count="2">
          <reference field="2" count="1" selected="0">
            <x v="86"/>
          </reference>
          <reference field="3" count="1">
            <x v="11"/>
          </reference>
        </references>
      </pivotArea>
    </format>
    <format dxfId="79">
      <pivotArea dataOnly="0" labelOnly="1" outline="0" fieldPosition="0">
        <references count="2">
          <reference field="2" count="1" selected="0">
            <x v="87"/>
          </reference>
          <reference field="3" count="1">
            <x v="119"/>
          </reference>
        </references>
      </pivotArea>
    </format>
    <format dxfId="78">
      <pivotArea dataOnly="0" labelOnly="1" outline="0" fieldPosition="0">
        <references count="2">
          <reference field="2" count="1" selected="0">
            <x v="88"/>
          </reference>
          <reference field="3" count="1">
            <x v="118"/>
          </reference>
        </references>
      </pivotArea>
    </format>
    <format dxfId="77">
      <pivotArea dataOnly="0" labelOnly="1" outline="0" fieldPosition="0">
        <references count="2">
          <reference field="2" count="1" selected="0">
            <x v="89"/>
          </reference>
          <reference field="3" count="1">
            <x v="122"/>
          </reference>
        </references>
      </pivotArea>
    </format>
    <format dxfId="76">
      <pivotArea dataOnly="0" labelOnly="1" outline="0" fieldPosition="0">
        <references count="2">
          <reference field="2" count="1" selected="0">
            <x v="90"/>
          </reference>
          <reference field="3" count="1">
            <x v="62"/>
          </reference>
        </references>
      </pivotArea>
    </format>
    <format dxfId="75">
      <pivotArea dataOnly="0" labelOnly="1" outline="0" fieldPosition="0">
        <references count="2">
          <reference field="2" count="1" selected="0">
            <x v="91"/>
          </reference>
          <reference field="3" count="1">
            <x v="67"/>
          </reference>
        </references>
      </pivotArea>
    </format>
    <format dxfId="74">
      <pivotArea dataOnly="0" labelOnly="1" outline="0" fieldPosition="0">
        <references count="2">
          <reference field="2" count="1" selected="0">
            <x v="92"/>
          </reference>
          <reference field="3" count="1">
            <x v="79"/>
          </reference>
        </references>
      </pivotArea>
    </format>
    <format dxfId="73">
      <pivotArea dataOnly="0" labelOnly="1" outline="0" fieldPosition="0">
        <references count="2">
          <reference field="2" count="1" selected="0">
            <x v="93"/>
          </reference>
          <reference field="3" count="1">
            <x v="152"/>
          </reference>
        </references>
      </pivotArea>
    </format>
    <format dxfId="72">
      <pivotArea dataOnly="0" labelOnly="1" outline="0" fieldPosition="0">
        <references count="2">
          <reference field="2" count="1" selected="0">
            <x v="94"/>
          </reference>
          <reference field="3" count="1">
            <x v="30"/>
          </reference>
        </references>
      </pivotArea>
    </format>
    <format dxfId="71">
      <pivotArea dataOnly="0" labelOnly="1" outline="0" fieldPosition="0">
        <references count="2">
          <reference field="2" count="1" selected="0">
            <x v="95"/>
          </reference>
          <reference field="3" count="1">
            <x v="31"/>
          </reference>
        </references>
      </pivotArea>
    </format>
    <format dxfId="70">
      <pivotArea dataOnly="0" labelOnly="1" outline="0" fieldPosition="0">
        <references count="2">
          <reference field="2" count="1" selected="0">
            <x v="96"/>
          </reference>
          <reference field="3" count="1">
            <x v="34"/>
          </reference>
        </references>
      </pivotArea>
    </format>
    <format dxfId="69">
      <pivotArea dataOnly="0" labelOnly="1" outline="0" fieldPosition="0">
        <references count="2">
          <reference field="2" count="1" selected="0">
            <x v="97"/>
          </reference>
          <reference field="3" count="1">
            <x v="35"/>
          </reference>
        </references>
      </pivotArea>
    </format>
    <format dxfId="68">
      <pivotArea dataOnly="0" labelOnly="1" outline="0" fieldPosition="0">
        <references count="2">
          <reference field="2" count="1" selected="0">
            <x v="98"/>
          </reference>
          <reference field="3" count="1">
            <x v="36"/>
          </reference>
        </references>
      </pivotArea>
    </format>
    <format dxfId="67">
      <pivotArea dataOnly="0" labelOnly="1" outline="0" fieldPosition="0">
        <references count="2">
          <reference field="2" count="1" selected="0">
            <x v="99"/>
          </reference>
          <reference field="3" count="1">
            <x v="141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100"/>
          </reference>
          <reference field="3" count="1">
            <x v="120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101"/>
          </reference>
          <reference field="3" count="1">
            <x v="142"/>
          </reference>
        </references>
      </pivotArea>
    </format>
    <format dxfId="64">
      <pivotArea dataOnly="0" labelOnly="1" outline="0" fieldPosition="0">
        <references count="2">
          <reference field="2" count="1" selected="0">
            <x v="102"/>
          </reference>
          <reference field="3" count="1">
            <x v="68"/>
          </reference>
        </references>
      </pivotArea>
    </format>
    <format dxfId="63">
      <pivotArea dataOnly="0" labelOnly="1" outline="0" fieldPosition="0">
        <references count="2">
          <reference field="2" count="1" selected="0">
            <x v="103"/>
          </reference>
          <reference field="3" count="1">
            <x v="124"/>
          </reference>
        </references>
      </pivotArea>
    </format>
    <format dxfId="62">
      <pivotArea dataOnly="0" labelOnly="1" outline="0" fieldPosition="0">
        <references count="2">
          <reference field="2" count="1" selected="0">
            <x v="104"/>
          </reference>
          <reference field="3" count="1">
            <x v="133"/>
          </reference>
        </references>
      </pivotArea>
    </format>
    <format dxfId="61">
      <pivotArea dataOnly="0" labelOnly="1" outline="0" fieldPosition="0">
        <references count="2">
          <reference field="2" count="1" selected="0">
            <x v="105"/>
          </reference>
          <reference field="3" count="1">
            <x v="110"/>
          </reference>
        </references>
      </pivotArea>
    </format>
    <format dxfId="60">
      <pivotArea dataOnly="0" labelOnly="1" outline="0" fieldPosition="0">
        <references count="2">
          <reference field="2" count="1" selected="0">
            <x v="106"/>
          </reference>
          <reference field="3" count="1">
            <x v="109"/>
          </reference>
        </references>
      </pivotArea>
    </format>
    <format dxfId="59">
      <pivotArea dataOnly="0" labelOnly="1" outline="0" fieldPosition="0">
        <references count="2">
          <reference field="2" count="1" selected="0">
            <x v="107"/>
          </reference>
          <reference field="3" count="1">
            <x v="128"/>
          </reference>
        </references>
      </pivotArea>
    </format>
    <format dxfId="58">
      <pivotArea dataOnly="0" labelOnly="1" outline="0" fieldPosition="0">
        <references count="2">
          <reference field="2" count="1" selected="0">
            <x v="108"/>
          </reference>
          <reference field="3" count="1">
            <x v="112"/>
          </reference>
        </references>
      </pivotArea>
    </format>
    <format dxfId="57">
      <pivotArea dataOnly="0" labelOnly="1" outline="0" fieldPosition="0">
        <references count="2">
          <reference field="2" count="1" selected="0">
            <x v="109"/>
          </reference>
          <reference field="3" count="1">
            <x v="106"/>
          </reference>
        </references>
      </pivotArea>
    </format>
    <format dxfId="56">
      <pivotArea dataOnly="0" labelOnly="1" outline="0" fieldPosition="0">
        <references count="2">
          <reference field="2" count="1" selected="0">
            <x v="110"/>
          </reference>
          <reference field="3" count="1">
            <x v="130"/>
          </reference>
        </references>
      </pivotArea>
    </format>
    <format dxfId="55">
      <pivotArea dataOnly="0" labelOnly="1" outline="0" fieldPosition="0">
        <references count="2">
          <reference field="2" count="1" selected="0">
            <x v="111"/>
          </reference>
          <reference field="3" count="1">
            <x v="66"/>
          </reference>
        </references>
      </pivotArea>
    </format>
    <format dxfId="54">
      <pivotArea dataOnly="0" labelOnly="1" outline="0" fieldPosition="0">
        <references count="2">
          <reference field="2" count="1" selected="0">
            <x v="112"/>
          </reference>
          <reference field="3" count="1">
            <x v="20"/>
          </reference>
        </references>
      </pivotArea>
    </format>
    <format dxfId="53">
      <pivotArea dataOnly="0" labelOnly="1" outline="0" fieldPosition="0">
        <references count="2">
          <reference field="2" count="1" selected="0">
            <x v="113"/>
          </reference>
          <reference field="3" count="1">
            <x v="17"/>
          </reference>
        </references>
      </pivotArea>
    </format>
    <format dxfId="52">
      <pivotArea dataOnly="0" labelOnly="1" outline="0" fieldPosition="0">
        <references count="2">
          <reference field="2" count="1" selected="0">
            <x v="114"/>
          </reference>
          <reference field="3" count="1">
            <x v="22"/>
          </reference>
        </references>
      </pivotArea>
    </format>
    <format dxfId="51">
      <pivotArea dataOnly="0" labelOnly="1" outline="0" fieldPosition="0">
        <references count="2">
          <reference field="2" count="1" selected="0">
            <x v="115"/>
          </reference>
          <reference field="3" count="1">
            <x v="96"/>
          </reference>
        </references>
      </pivotArea>
    </format>
    <format dxfId="50">
      <pivotArea dataOnly="0" labelOnly="1" outline="0" fieldPosition="0">
        <references count="2">
          <reference field="2" count="1" selected="0">
            <x v="116"/>
          </reference>
          <reference field="3" count="1">
            <x v="100"/>
          </reference>
        </references>
      </pivotArea>
    </format>
    <format dxfId="49">
      <pivotArea dataOnly="0" labelOnly="1" outline="0" fieldPosition="0">
        <references count="2">
          <reference field="2" count="1" selected="0">
            <x v="117"/>
          </reference>
          <reference field="3" count="1">
            <x v="15"/>
          </reference>
        </references>
      </pivotArea>
    </format>
    <format dxfId="48">
      <pivotArea dataOnly="0" labelOnly="1" outline="0" fieldPosition="0">
        <references count="2">
          <reference field="2" count="1" selected="0">
            <x v="118"/>
          </reference>
          <reference field="3" count="1">
            <x v="64"/>
          </reference>
        </references>
      </pivotArea>
    </format>
    <format dxfId="47">
      <pivotArea dataOnly="0" labelOnly="1" outline="0" fieldPosition="0">
        <references count="2">
          <reference field="2" count="1" selected="0">
            <x v="119"/>
          </reference>
          <reference field="3" count="1">
            <x v="113"/>
          </reference>
        </references>
      </pivotArea>
    </format>
    <format dxfId="46">
      <pivotArea dataOnly="0" labelOnly="1" outline="0" fieldPosition="0">
        <references count="2">
          <reference field="2" count="1" selected="0">
            <x v="120"/>
          </reference>
          <reference field="3" count="1">
            <x v="114"/>
          </reference>
        </references>
      </pivotArea>
    </format>
    <format dxfId="45">
      <pivotArea dataOnly="0" labelOnly="1" outline="0" fieldPosition="0">
        <references count="2">
          <reference field="2" count="1" selected="0">
            <x v="121"/>
          </reference>
          <reference field="3" count="1">
            <x v="127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122"/>
          </reference>
          <reference field="3" count="1">
            <x v="105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123"/>
          </reference>
          <reference field="3" count="1">
            <x v="0"/>
          </reference>
        </references>
      </pivotArea>
    </format>
    <format dxfId="42">
      <pivotArea dataOnly="0" labelOnly="1" outline="0" fieldPosition="0">
        <references count="2">
          <reference field="2" count="1" selected="0">
            <x v="124"/>
          </reference>
          <reference field="3" count="1">
            <x v="2"/>
          </reference>
        </references>
      </pivotArea>
    </format>
    <format dxfId="41">
      <pivotArea dataOnly="0" labelOnly="1" outline="0" fieldPosition="0">
        <references count="2">
          <reference field="2" count="1" selected="0">
            <x v="125"/>
          </reference>
          <reference field="3" count="1">
            <x v="1"/>
          </reference>
        </references>
      </pivotArea>
    </format>
    <format dxfId="40">
      <pivotArea dataOnly="0" labelOnly="1" outline="0" fieldPosition="0">
        <references count="2">
          <reference field="2" count="1" selected="0">
            <x v="126"/>
          </reference>
          <reference field="3" count="1">
            <x v="146"/>
          </reference>
        </references>
      </pivotArea>
    </format>
    <format dxfId="39">
      <pivotArea dataOnly="0" labelOnly="1" outline="0" fieldPosition="0">
        <references count="2">
          <reference field="2" count="1" selected="0">
            <x v="127"/>
          </reference>
          <reference field="3" count="1">
            <x v="136"/>
          </reference>
        </references>
      </pivotArea>
    </format>
    <format dxfId="38">
      <pivotArea dataOnly="0" labelOnly="1" outline="0" fieldPosition="0">
        <references count="2">
          <reference field="2" count="1" selected="0">
            <x v="128"/>
          </reference>
          <reference field="3" count="1">
            <x v="78"/>
          </reference>
        </references>
      </pivotArea>
    </format>
    <format dxfId="37">
      <pivotArea dataOnly="0" labelOnly="1" outline="0" fieldPosition="0">
        <references count="2">
          <reference field="2" count="1" selected="0">
            <x v="129"/>
          </reference>
          <reference field="3" count="1">
            <x v="140"/>
          </reference>
        </references>
      </pivotArea>
    </format>
    <format dxfId="36">
      <pivotArea dataOnly="0" labelOnly="1" outline="0" fieldPosition="0">
        <references count="2">
          <reference field="2" count="1" selected="0">
            <x v="130"/>
          </reference>
          <reference field="3" count="1">
            <x v="27"/>
          </reference>
        </references>
      </pivotArea>
    </format>
    <format dxfId="35">
      <pivotArea dataOnly="0" labelOnly="1" outline="0" fieldPosition="0">
        <references count="2">
          <reference field="2" count="1" selected="0">
            <x v="131"/>
          </reference>
          <reference field="3" count="1">
            <x v="40"/>
          </reference>
        </references>
      </pivotArea>
    </format>
    <format dxfId="34">
      <pivotArea dataOnly="0" labelOnly="1" outline="0" fieldPosition="0">
        <references count="2">
          <reference field="2" count="1" selected="0">
            <x v="132"/>
          </reference>
          <reference field="3" count="1">
            <x v="41"/>
          </reference>
        </references>
      </pivotArea>
    </format>
    <format dxfId="33">
      <pivotArea dataOnly="0" labelOnly="1" outline="0" fieldPosition="0">
        <references count="2">
          <reference field="2" count="1" selected="0">
            <x v="133"/>
          </reference>
          <reference field="3" count="1">
            <x v="147"/>
          </reference>
        </references>
      </pivotArea>
    </format>
    <format dxfId="32">
      <pivotArea dataOnly="0" labelOnly="1" outline="0" fieldPosition="0">
        <references count="2">
          <reference field="2" count="1" selected="0">
            <x v="134"/>
          </reference>
          <reference field="3" count="1">
            <x v="151"/>
          </reference>
        </references>
      </pivotArea>
    </format>
    <format dxfId="31">
      <pivotArea dataOnly="0" labelOnly="1" outline="0" fieldPosition="0">
        <references count="2">
          <reference field="2" count="1" selected="0">
            <x v="135"/>
          </reference>
          <reference field="3" count="1">
            <x v="28"/>
          </reference>
        </references>
      </pivotArea>
    </format>
    <format dxfId="30">
      <pivotArea dataOnly="0" labelOnly="1" outline="0" fieldPosition="0">
        <references count="2">
          <reference field="2" count="1" selected="0">
            <x v="136"/>
          </reference>
          <reference field="3" count="1">
            <x v="42"/>
          </reference>
        </references>
      </pivotArea>
    </format>
    <format dxfId="29">
      <pivotArea dataOnly="0" labelOnly="1" outline="0" fieldPosition="0">
        <references count="2">
          <reference field="2" count="1" selected="0">
            <x v="137"/>
          </reference>
          <reference field="3" count="1">
            <x v="43"/>
          </reference>
        </references>
      </pivotArea>
    </format>
    <format dxfId="28">
      <pivotArea dataOnly="0" labelOnly="1" outline="0" fieldPosition="0">
        <references count="2">
          <reference field="2" count="1" selected="0">
            <x v="138"/>
          </reference>
          <reference field="3" count="1">
            <x v="153"/>
          </reference>
        </references>
      </pivotArea>
    </format>
    <format dxfId="27">
      <pivotArea dataOnly="0" labelOnly="1" outline="0" fieldPosition="0">
        <references count="2">
          <reference field="2" count="1" selected="0">
            <x v="139"/>
          </reference>
          <reference field="3" count="1">
            <x v="154"/>
          </reference>
        </references>
      </pivotArea>
    </format>
    <format dxfId="26">
      <pivotArea dataOnly="0" labelOnly="1" outline="0" fieldPosition="0">
        <references count="2">
          <reference field="2" count="1" selected="0">
            <x v="140"/>
          </reference>
          <reference field="3" count="1">
            <x v="156"/>
          </reference>
        </references>
      </pivotArea>
    </format>
    <format dxfId="25">
      <pivotArea dataOnly="0" labelOnly="1" outline="0" fieldPosition="0">
        <references count="2">
          <reference field="2" count="1" selected="0">
            <x v="141"/>
          </reference>
          <reference field="3" count="1">
            <x v="158"/>
          </reference>
        </references>
      </pivotArea>
    </format>
    <format dxfId="24">
      <pivotArea field="2" type="button" dataOnly="0" labelOnly="1" outline="0" axis="axisRow" fieldPosition="0"/>
    </format>
    <format dxfId="23">
      <pivotArea field="3" type="button" dataOnly="0" labelOnly="1" outline="0" axis="axisRow" fieldPosition="1"/>
    </format>
    <format dxfId="2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">
      <pivotArea field="2" type="button" dataOnly="0" labelOnly="1" outline="0" axis="axisRow" fieldPosition="0"/>
    </format>
    <format dxfId="20">
      <pivotArea field="3" type="button" dataOnly="0" labelOnly="1" outline="0" axis="axisRow" fieldPosition="1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">
      <pivotArea field="2" type="button" dataOnly="0" labelOnly="1" outline="0" axis="axisRow" fieldPosition="0"/>
    </format>
    <format dxfId="17">
      <pivotArea field="3" type="button" dataOnly="0" labelOnly="1" outline="0" axis="axisRow" fieldPosition="1"/>
    </format>
    <format dxfId="16">
      <pivotArea field="2" type="button" dataOnly="0" labelOnly="1" outline="0" axis="axisRow" fieldPosition="0"/>
    </format>
    <format dxfId="15">
      <pivotArea field="3" type="button" dataOnly="0" labelOnly="1" outline="0" axis="axisRow" fieldPosition="1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4679-E9FF-4556-AEDB-25E9E0C860ED}">
  <dimension ref="B1:S8"/>
  <sheetViews>
    <sheetView showGridLines="0" tabSelected="1" zoomScale="85" zoomScaleNormal="85" workbookViewId="0">
      <pane ySplit="8" topLeftCell="A9" activePane="bottomLeft" state="frozen"/>
      <selection pane="bottomLeft" activeCell="T18" sqref="T18"/>
    </sheetView>
  </sheetViews>
  <sheetFormatPr defaultRowHeight="15" x14ac:dyDescent="0.25"/>
  <cols>
    <col min="11" max="13" width="11.42578125" customWidth="1"/>
    <col min="14" max="16" width="14.7109375" customWidth="1"/>
  </cols>
  <sheetData>
    <row r="1" spans="2:19" ht="23.25" x14ac:dyDescent="0.25">
      <c r="K1" s="85" t="s">
        <v>414</v>
      </c>
      <c r="L1" s="85"/>
      <c r="M1" s="85"/>
      <c r="N1" s="85" t="s">
        <v>415</v>
      </c>
      <c r="O1" s="85"/>
      <c r="P1" s="85"/>
    </row>
    <row r="2" spans="2:19" ht="22.15" customHeight="1" x14ac:dyDescent="0.25">
      <c r="K2" s="86" t="str">
        <f>VLOOKUP($E$5,'Personel Görev Dağılım'!A:D,2,0)</f>
        <v>YARI MAMUL MONTAJ</v>
      </c>
      <c r="L2" s="86"/>
      <c r="M2" s="86"/>
      <c r="N2" s="86" t="str">
        <f>VLOOKUP($E$5,'Personel Görev Dağılım'!A:D,3,0)</f>
        <v>OSB YARI MAMUL MONTAJ</v>
      </c>
      <c r="O2" s="86"/>
      <c r="P2" s="86"/>
    </row>
    <row r="3" spans="2:19" ht="22.15" customHeight="1" x14ac:dyDescent="0.25">
      <c r="K3" s="86"/>
      <c r="L3" s="86"/>
      <c r="M3" s="86"/>
      <c r="N3" s="86"/>
      <c r="O3" s="86"/>
      <c r="P3" s="86"/>
    </row>
    <row r="4" spans="2:19" ht="23.25" x14ac:dyDescent="0.25">
      <c r="B4" s="88" t="s">
        <v>366</v>
      </c>
      <c r="C4" s="89"/>
      <c r="D4" s="89"/>
      <c r="E4" s="124" t="str">
        <f>VLOOKUP($E$5,'Menü Seçenekleri'!F7:G21,2,0)</f>
        <v>EMİR KODAŞ (H)</v>
      </c>
      <c r="F4" s="125"/>
      <c r="G4" s="125"/>
      <c r="H4" s="125"/>
      <c r="I4" s="126"/>
    </row>
    <row r="5" spans="2:19" ht="23.25" x14ac:dyDescent="0.25">
      <c r="B5" s="90"/>
      <c r="C5" s="91"/>
      <c r="D5" s="91"/>
      <c r="E5" s="123" t="s">
        <v>372</v>
      </c>
      <c r="F5" s="123"/>
      <c r="G5" s="123"/>
      <c r="H5" s="123"/>
      <c r="I5" s="123"/>
    </row>
    <row r="6" spans="2:19" ht="23.25" x14ac:dyDescent="0.25">
      <c r="J6" s="57"/>
      <c r="K6" s="85" t="s">
        <v>416</v>
      </c>
      <c r="L6" s="85"/>
      <c r="M6" s="85"/>
      <c r="N6" s="85" t="s">
        <v>417</v>
      </c>
      <c r="O6" s="85"/>
      <c r="P6" s="85"/>
      <c r="Q6" s="85" t="s">
        <v>418</v>
      </c>
      <c r="R6" s="85"/>
      <c r="S6" s="85"/>
    </row>
    <row r="7" spans="2:19" ht="14.45" customHeight="1" x14ac:dyDescent="0.25">
      <c r="K7" s="87">
        <f>'Grafik Verileri'!B164</f>
        <v>705</v>
      </c>
      <c r="L7" s="87"/>
      <c r="M7" s="87"/>
      <c r="N7" s="87">
        <f>'Grafik Verileri'!C164</f>
        <v>547</v>
      </c>
      <c r="O7" s="87"/>
      <c r="P7" s="87"/>
      <c r="Q7" s="92">
        <f>N7/K7</f>
        <v>0.77588652482269505</v>
      </c>
      <c r="R7" s="92"/>
      <c r="S7" s="92"/>
    </row>
    <row r="8" spans="2:19" ht="14.45" customHeight="1" x14ac:dyDescent="0.25">
      <c r="K8" s="87"/>
      <c r="L8" s="87"/>
      <c r="M8" s="87"/>
      <c r="N8" s="87"/>
      <c r="O8" s="87"/>
      <c r="P8" s="87"/>
      <c r="Q8" s="92"/>
      <c r="R8" s="92"/>
      <c r="S8" s="92"/>
    </row>
  </sheetData>
  <mergeCells count="13">
    <mergeCell ref="E4:I4"/>
    <mergeCell ref="E5:I5"/>
    <mergeCell ref="B4:D5"/>
    <mergeCell ref="N7:P8"/>
    <mergeCell ref="Q6:S6"/>
    <mergeCell ref="Q7:S8"/>
    <mergeCell ref="K6:M6"/>
    <mergeCell ref="K7:M8"/>
    <mergeCell ref="K1:M1"/>
    <mergeCell ref="N1:P1"/>
    <mergeCell ref="K2:M3"/>
    <mergeCell ref="N2:P3"/>
    <mergeCell ref="N6:P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9C691A-6855-46F5-942D-84E7013ED143}">
          <x14:formula1>
            <xm:f>'Menü Seçenekleri'!$F$8:$F$21</xm:f>
          </x14:formula1>
          <xm:sqref>E5:I5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1012-B5F2-4B16-A963-8543782D5F40}">
  <dimension ref="A1:C164"/>
  <sheetViews>
    <sheetView showGridLines="0" zoomScale="70" zoomScaleNormal="70" workbookViewId="0">
      <selection activeCell="A2" sqref="A2"/>
    </sheetView>
  </sheetViews>
  <sheetFormatPr defaultRowHeight="15" x14ac:dyDescent="0.25"/>
  <cols>
    <col min="1" max="1" width="50.7109375" bestFit="1" customWidth="1"/>
    <col min="2" max="2" width="24.140625" style="16" bestFit="1" customWidth="1"/>
    <col min="3" max="3" width="58.7109375" bestFit="1" customWidth="1"/>
  </cols>
  <sheetData>
    <row r="1" spans="1:3" ht="15.75" x14ac:dyDescent="0.25">
      <c r="A1" s="33" t="s">
        <v>367</v>
      </c>
      <c r="B1" s="33" t="s">
        <v>419</v>
      </c>
      <c r="C1" s="33" t="s">
        <v>421</v>
      </c>
    </row>
    <row r="2" spans="1:3" x14ac:dyDescent="0.25">
      <c r="A2" s="55" t="s">
        <v>332</v>
      </c>
      <c r="B2" s="50" t="str">
        <f>HLOOKUP(Grafik!$E$4,'Tüm Operasyonlar'!$D$1:$AG$164,3,0)</f>
        <v>-</v>
      </c>
      <c r="C2" s="50" t="str">
        <f>HLOOKUP(Grafik!$E$5,'Tüm Operasyonlar'!$D$1:$AG$164,3,0)</f>
        <v>-</v>
      </c>
    </row>
    <row r="3" spans="1:3" x14ac:dyDescent="0.25">
      <c r="A3" s="55" t="s">
        <v>333</v>
      </c>
      <c r="B3" s="50" t="str">
        <f>HLOOKUP(Grafik!$E$4,'Tüm Operasyonlar'!$D$1:$AG$164,4,0)</f>
        <v>-</v>
      </c>
      <c r="C3" s="50" t="str">
        <f>HLOOKUP(Grafik!$E$5,'Tüm Operasyonlar'!$D$1:$AG$164,4,0)</f>
        <v>-</v>
      </c>
    </row>
    <row r="4" spans="1:3" x14ac:dyDescent="0.25">
      <c r="A4" s="55" t="s">
        <v>334</v>
      </c>
      <c r="B4" s="50" t="str">
        <f>HLOOKUP(Grafik!$E$4,'Tüm Operasyonlar'!$D$1:$AG$164,5,0)</f>
        <v>-</v>
      </c>
      <c r="C4" s="50" t="str">
        <f>HLOOKUP(Grafik!$E$5,'Tüm Operasyonlar'!$D$1:$AG$164,5,0)</f>
        <v>-</v>
      </c>
    </row>
    <row r="5" spans="1:3" x14ac:dyDescent="0.25">
      <c r="A5" s="55" t="s">
        <v>335</v>
      </c>
      <c r="B5" s="50" t="str">
        <f>HLOOKUP(Grafik!$E$4,'Tüm Operasyonlar'!$D$1:$AG$164,6,0)</f>
        <v>-</v>
      </c>
      <c r="C5" s="50" t="str">
        <f>HLOOKUP(Grafik!$E$5,'Tüm Operasyonlar'!$D$1:$AG$164,6,0)</f>
        <v>-</v>
      </c>
    </row>
    <row r="6" spans="1:3" x14ac:dyDescent="0.25">
      <c r="A6" s="55" t="s">
        <v>336</v>
      </c>
      <c r="B6" s="50" t="str">
        <f>HLOOKUP(Grafik!$E$4,'Tüm Operasyonlar'!$D$1:$AG$164,7,0)</f>
        <v>-</v>
      </c>
      <c r="C6" s="50" t="str">
        <f>HLOOKUP(Grafik!$E$5,'Tüm Operasyonlar'!$D$1:$AG$164,7,0)</f>
        <v>-</v>
      </c>
    </row>
    <row r="7" spans="1:3" x14ac:dyDescent="0.25">
      <c r="A7" s="55" t="s">
        <v>337</v>
      </c>
      <c r="B7" s="50" t="str">
        <f>HLOOKUP(Grafik!$E$4,'Tüm Operasyonlar'!$D$1:$AG$164,8,0)</f>
        <v>-</v>
      </c>
      <c r="C7" s="50" t="str">
        <f>HLOOKUP(Grafik!$E$5,'Tüm Operasyonlar'!$D$1:$AG$164,8,0)</f>
        <v>-</v>
      </c>
    </row>
    <row r="8" spans="1:3" x14ac:dyDescent="0.25">
      <c r="A8" s="55" t="s">
        <v>338</v>
      </c>
      <c r="B8" s="50" t="str">
        <f>HLOOKUP(Grafik!$E$4,'Tüm Operasyonlar'!$D$1:$AG$164,9,0)</f>
        <v>-</v>
      </c>
      <c r="C8" s="50" t="str">
        <f>HLOOKUP(Grafik!$E$5,'Tüm Operasyonlar'!$D$1:$AG$164,9,0)</f>
        <v>-</v>
      </c>
    </row>
    <row r="9" spans="1:3" x14ac:dyDescent="0.25">
      <c r="A9" s="55" t="s">
        <v>339</v>
      </c>
      <c r="B9" s="50" t="str">
        <f>HLOOKUP(Grafik!$E$4,'Tüm Operasyonlar'!$D$1:$AG$164,10,0)</f>
        <v>-</v>
      </c>
      <c r="C9" s="50" t="str">
        <f>HLOOKUP(Grafik!$E$5,'Tüm Operasyonlar'!$D$1:$AG$164,10,0)</f>
        <v>-</v>
      </c>
    </row>
    <row r="10" spans="1:3" x14ac:dyDescent="0.25">
      <c r="A10" s="55" t="s">
        <v>340</v>
      </c>
      <c r="B10" s="50" t="str">
        <f>HLOOKUP(Grafik!$E$4,'Tüm Operasyonlar'!$D$1:$AG$164,11,0)</f>
        <v>-</v>
      </c>
      <c r="C10" s="50" t="str">
        <f>HLOOKUP(Grafik!$E$5,'Tüm Operasyonlar'!$D$1:$AG$164,11,0)</f>
        <v>-</v>
      </c>
    </row>
    <row r="11" spans="1:3" x14ac:dyDescent="0.25">
      <c r="A11" s="56" t="s">
        <v>104</v>
      </c>
      <c r="B11" s="50">
        <f>HLOOKUP(Grafik!$E$4,'Tüm Operasyonlar'!$D$1:$AG$164,12,0)</f>
        <v>5</v>
      </c>
      <c r="C11" s="50">
        <f>HLOOKUP(Grafik!$E$5,'Tüm Operasyonlar'!$D$1:$AG$164,12,0)</f>
        <v>5</v>
      </c>
    </row>
    <row r="12" spans="1:3" x14ac:dyDescent="0.25">
      <c r="A12" s="56" t="s">
        <v>30</v>
      </c>
      <c r="B12" s="50">
        <f>HLOOKUP(Grafik!$E$4,'Tüm Operasyonlar'!$D$1:$AG$164,13,0)</f>
        <v>5</v>
      </c>
      <c r="C12" s="50">
        <f>HLOOKUP(Grafik!$E$5,'Tüm Operasyonlar'!$D$1:$AG$164,13,0)</f>
        <v>4</v>
      </c>
    </row>
    <row r="13" spans="1:3" x14ac:dyDescent="0.25">
      <c r="A13" s="56" t="s">
        <v>106</v>
      </c>
      <c r="B13" s="50">
        <f>HLOOKUP(Grafik!$E$4,'Tüm Operasyonlar'!$D$1:$AG$164,14,0)</f>
        <v>5</v>
      </c>
      <c r="C13" s="50">
        <f>HLOOKUP(Grafik!$E$5,'Tüm Operasyonlar'!$D$1:$AG$164,14,0)</f>
        <v>5</v>
      </c>
    </row>
    <row r="14" spans="1:3" x14ac:dyDescent="0.25">
      <c r="A14" s="56" t="s">
        <v>108</v>
      </c>
      <c r="B14" s="50">
        <f>HLOOKUP(Grafik!$E$4,'Tüm Operasyonlar'!$D$1:$AG$164,15,0)</f>
        <v>5</v>
      </c>
      <c r="C14" s="50">
        <f>HLOOKUP(Grafik!$E$5,'Tüm Operasyonlar'!$D$1:$AG$164,15,0)</f>
        <v>5</v>
      </c>
    </row>
    <row r="15" spans="1:3" x14ac:dyDescent="0.25">
      <c r="A15" s="56" t="s">
        <v>28</v>
      </c>
      <c r="B15" s="50">
        <f>HLOOKUP(Grafik!$E$4,'Tüm Operasyonlar'!$D$1:$AG$164,16,0)</f>
        <v>5</v>
      </c>
      <c r="C15" s="50">
        <f>HLOOKUP(Grafik!$E$5,'Tüm Operasyonlar'!$D$1:$AG$164,16,0)</f>
        <v>5</v>
      </c>
    </row>
    <row r="16" spans="1:3" x14ac:dyDescent="0.25">
      <c r="A16" s="56" t="s">
        <v>109</v>
      </c>
      <c r="B16" s="50">
        <f>HLOOKUP(Grafik!$E$4,'Tüm Operasyonlar'!$D$1:$AG$164,17,0)</f>
        <v>5</v>
      </c>
      <c r="C16" s="50">
        <f>HLOOKUP(Grafik!$E$5,'Tüm Operasyonlar'!$D$1:$AG$164,17,0)</f>
        <v>5</v>
      </c>
    </row>
    <row r="17" spans="1:3" x14ac:dyDescent="0.25">
      <c r="A17" s="56" t="s">
        <v>31</v>
      </c>
      <c r="B17" s="50">
        <f>HLOOKUP(Grafik!$E$4,'Tüm Operasyonlar'!$D$1:$AG$164,18,0)</f>
        <v>5</v>
      </c>
      <c r="C17" s="50">
        <f>HLOOKUP(Grafik!$E$5,'Tüm Operasyonlar'!$D$1:$AG$164,18,0)</f>
        <v>5</v>
      </c>
    </row>
    <row r="18" spans="1:3" x14ac:dyDescent="0.25">
      <c r="A18" s="56" t="s">
        <v>32</v>
      </c>
      <c r="B18" s="50">
        <f>HLOOKUP(Grafik!$E$4,'Tüm Operasyonlar'!$D$1:$AG$164,19,0)</f>
        <v>5</v>
      </c>
      <c r="C18" s="50">
        <f>HLOOKUP(Grafik!$E$5,'Tüm Operasyonlar'!$D$1:$AG$164,19,0)</f>
        <v>2</v>
      </c>
    </row>
    <row r="19" spans="1:3" x14ac:dyDescent="0.25">
      <c r="A19" s="56" t="s">
        <v>33</v>
      </c>
      <c r="B19" s="50">
        <f>HLOOKUP(Grafik!$E$4,'Tüm Operasyonlar'!$D$1:$AG$164,20,0)</f>
        <v>5</v>
      </c>
      <c r="C19" s="50">
        <f>HLOOKUP(Grafik!$E$5,'Tüm Operasyonlar'!$D$1:$AG$164,20,0)</f>
        <v>2</v>
      </c>
    </row>
    <row r="20" spans="1:3" x14ac:dyDescent="0.25">
      <c r="A20" s="56" t="s">
        <v>34</v>
      </c>
      <c r="B20" s="50">
        <f>HLOOKUP(Grafik!$E$4,'Tüm Operasyonlar'!$D$1:$AG$164,21,0)</f>
        <v>5</v>
      </c>
      <c r="C20" s="50">
        <f>HLOOKUP(Grafik!$E$5,'Tüm Operasyonlar'!$D$1:$AG$164,21,0)</f>
        <v>2</v>
      </c>
    </row>
    <row r="21" spans="1:3" x14ac:dyDescent="0.25">
      <c r="A21" s="56" t="s">
        <v>35</v>
      </c>
      <c r="B21" s="50">
        <f>HLOOKUP(Grafik!$E$4,'Tüm Operasyonlar'!$D$1:$AG$164,22,0)</f>
        <v>5</v>
      </c>
      <c r="C21" s="50">
        <f>HLOOKUP(Grafik!$E$5,'Tüm Operasyonlar'!$D$1:$AG$164,22,0)</f>
        <v>2</v>
      </c>
    </row>
    <row r="22" spans="1:3" x14ac:dyDescent="0.25">
      <c r="A22" s="56" t="s">
        <v>36</v>
      </c>
      <c r="B22" s="50">
        <f>HLOOKUP(Grafik!$E$4,'Tüm Operasyonlar'!$D$1:$AG$164,23,0)</f>
        <v>5</v>
      </c>
      <c r="C22" s="50">
        <f>HLOOKUP(Grafik!$E$5,'Tüm Operasyonlar'!$D$1:$AG$164,23,0)</f>
        <v>2</v>
      </c>
    </row>
    <row r="23" spans="1:3" x14ac:dyDescent="0.25">
      <c r="A23" s="56" t="s">
        <v>37</v>
      </c>
      <c r="B23" s="50">
        <f>HLOOKUP(Grafik!$E$4,'Tüm Operasyonlar'!$D$1:$AG$164,24,0)</f>
        <v>5</v>
      </c>
      <c r="C23" s="50">
        <f>HLOOKUP(Grafik!$E$5,'Tüm Operasyonlar'!$D$1:$AG$164,24,0)</f>
        <v>2</v>
      </c>
    </row>
    <row r="24" spans="1:3" x14ac:dyDescent="0.25">
      <c r="A24" s="56" t="s">
        <v>38</v>
      </c>
      <c r="B24" s="50">
        <f>HLOOKUP(Grafik!$E$4,'Tüm Operasyonlar'!$D$1:$AG$164,25,0)</f>
        <v>5</v>
      </c>
      <c r="C24" s="50">
        <f>HLOOKUP(Grafik!$E$5,'Tüm Operasyonlar'!$D$1:$AG$164,25,0)</f>
        <v>2</v>
      </c>
    </row>
    <row r="25" spans="1:3" x14ac:dyDescent="0.25">
      <c r="A25" s="56" t="s">
        <v>110</v>
      </c>
      <c r="B25" s="50">
        <f>HLOOKUP(Grafik!$E$4,'Tüm Operasyonlar'!$D$1:$AG$164,26,0)</f>
        <v>5</v>
      </c>
      <c r="C25" s="50">
        <f>HLOOKUP(Grafik!$E$5,'Tüm Operasyonlar'!$D$1:$AG$164,26,0)</f>
        <v>5</v>
      </c>
    </row>
    <row r="26" spans="1:3" x14ac:dyDescent="0.25">
      <c r="A26" s="56" t="s">
        <v>112</v>
      </c>
      <c r="B26" s="50">
        <f>HLOOKUP(Grafik!$E$4,'Tüm Operasyonlar'!$D$1:$AG$164,27,0)</f>
        <v>5</v>
      </c>
      <c r="C26" s="50">
        <f>HLOOKUP(Grafik!$E$5,'Tüm Operasyonlar'!$D$1:$AG$164,27,0)</f>
        <v>3</v>
      </c>
    </row>
    <row r="27" spans="1:3" x14ac:dyDescent="0.25">
      <c r="A27" s="56" t="s">
        <v>114</v>
      </c>
      <c r="B27" s="50">
        <f>HLOOKUP(Grafik!$E$4,'Tüm Operasyonlar'!$D$1:$AG$164,28,0)</f>
        <v>5</v>
      </c>
      <c r="C27" s="50">
        <f>HLOOKUP(Grafik!$E$5,'Tüm Operasyonlar'!$D$1:$AG$164,28,0)</f>
        <v>1</v>
      </c>
    </row>
    <row r="28" spans="1:3" x14ac:dyDescent="0.25">
      <c r="A28" s="56" t="s">
        <v>115</v>
      </c>
      <c r="B28" s="50">
        <f>HLOOKUP(Grafik!$E$4,'Tüm Operasyonlar'!$D$1:$AG$164,29,0)</f>
        <v>5</v>
      </c>
      <c r="C28" s="50">
        <f>HLOOKUP(Grafik!$E$5,'Tüm Operasyonlar'!$D$1:$AG$164,29,0)</f>
        <v>1</v>
      </c>
    </row>
    <row r="29" spans="1:3" x14ac:dyDescent="0.25">
      <c r="A29" s="56" t="s">
        <v>117</v>
      </c>
      <c r="B29" s="50">
        <f>HLOOKUP(Grafik!$E$4,'Tüm Operasyonlar'!$D$1:$AG$164,30,0)</f>
        <v>5</v>
      </c>
      <c r="C29" s="50">
        <f>HLOOKUP(Grafik!$E$5,'Tüm Operasyonlar'!$D$1:$AG$164,30,0)</f>
        <v>5</v>
      </c>
    </row>
    <row r="30" spans="1:3" x14ac:dyDescent="0.25">
      <c r="A30" s="56" t="s">
        <v>119</v>
      </c>
      <c r="B30" s="50">
        <f>HLOOKUP(Grafik!$E$4,'Tüm Operasyonlar'!$D$1:$AG$164,31,0)</f>
        <v>5</v>
      </c>
      <c r="C30" s="50">
        <f>HLOOKUP(Grafik!$E$5,'Tüm Operasyonlar'!$D$1:$AG$164,31,0)</f>
        <v>5</v>
      </c>
    </row>
    <row r="31" spans="1:3" x14ac:dyDescent="0.25">
      <c r="A31" s="56" t="s">
        <v>39</v>
      </c>
      <c r="B31" s="50">
        <f>HLOOKUP(Grafik!$E$4,'Tüm Operasyonlar'!$D$1:$AG$164,32,0)</f>
        <v>5</v>
      </c>
      <c r="C31" s="50">
        <f>HLOOKUP(Grafik!$E$5,'Tüm Operasyonlar'!$D$1:$AG$164,32,0)</f>
        <v>5</v>
      </c>
    </row>
    <row r="32" spans="1:3" x14ac:dyDescent="0.25">
      <c r="A32" s="56" t="s">
        <v>121</v>
      </c>
      <c r="B32" s="50">
        <f>HLOOKUP(Grafik!$E$4,'Tüm Operasyonlar'!$D$1:$AG$164,33,0)</f>
        <v>5</v>
      </c>
      <c r="C32" s="50">
        <f>HLOOKUP(Grafik!$E$5,'Tüm Operasyonlar'!$D$1:$AG$164,33,0)</f>
        <v>5</v>
      </c>
    </row>
    <row r="33" spans="1:3" x14ac:dyDescent="0.25">
      <c r="A33" s="56" t="s">
        <v>123</v>
      </c>
      <c r="B33" s="50">
        <f>HLOOKUP(Grafik!$E$4,'Tüm Operasyonlar'!$D$1:$AG$164,34,0)</f>
        <v>5</v>
      </c>
      <c r="C33" s="50">
        <f>HLOOKUP(Grafik!$E$5,'Tüm Operasyonlar'!$D$1:$AG$164,34,0)</f>
        <v>5</v>
      </c>
    </row>
    <row r="34" spans="1:3" x14ac:dyDescent="0.25">
      <c r="A34" s="56" t="s">
        <v>124</v>
      </c>
      <c r="B34" s="50">
        <f>HLOOKUP(Grafik!$E$4,'Tüm Operasyonlar'!$D$1:$AG$164,35,0)</f>
        <v>5</v>
      </c>
      <c r="C34" s="50">
        <f>HLOOKUP(Grafik!$E$5,'Tüm Operasyonlar'!$D$1:$AG$164,35,0)</f>
        <v>1</v>
      </c>
    </row>
    <row r="35" spans="1:3" x14ac:dyDescent="0.25">
      <c r="A35" s="56" t="s">
        <v>40</v>
      </c>
      <c r="B35" s="50">
        <f>HLOOKUP(Grafik!$E$4,'Tüm Operasyonlar'!$D$1:$AG$164,36,0)</f>
        <v>5</v>
      </c>
      <c r="C35" s="50">
        <f>HLOOKUP(Grafik!$E$5,'Tüm Operasyonlar'!$D$1:$AG$164,36,0)</f>
        <v>5</v>
      </c>
    </row>
    <row r="36" spans="1:3" x14ac:dyDescent="0.25">
      <c r="A36" s="56" t="s">
        <v>41</v>
      </c>
      <c r="B36" s="50">
        <f>HLOOKUP(Grafik!$E$4,'Tüm Operasyonlar'!$D$1:$AG$164,37,0)</f>
        <v>5</v>
      </c>
      <c r="C36" s="50">
        <f>HLOOKUP(Grafik!$E$5,'Tüm Operasyonlar'!$D$1:$AG$164,37,0)</f>
        <v>5</v>
      </c>
    </row>
    <row r="37" spans="1:3" x14ac:dyDescent="0.25">
      <c r="A37" s="56" t="s">
        <v>42</v>
      </c>
      <c r="B37" s="50">
        <f>HLOOKUP(Grafik!$E$4,'Tüm Operasyonlar'!$D$1:$AG$164,38,0)</f>
        <v>5</v>
      </c>
      <c r="C37" s="50">
        <f>HLOOKUP(Grafik!$E$5,'Tüm Operasyonlar'!$D$1:$AG$164,38,0)</f>
        <v>5</v>
      </c>
    </row>
    <row r="38" spans="1:3" x14ac:dyDescent="0.25">
      <c r="A38" s="56" t="s">
        <v>43</v>
      </c>
      <c r="B38" s="50">
        <f>HLOOKUP(Grafik!$E$4,'Tüm Operasyonlar'!$D$1:$AG$164,39,0)</f>
        <v>5</v>
      </c>
      <c r="C38" s="50">
        <f>HLOOKUP(Grafik!$E$5,'Tüm Operasyonlar'!$D$1:$AG$164,39,0)</f>
        <v>5</v>
      </c>
    </row>
    <row r="39" spans="1:3" x14ac:dyDescent="0.25">
      <c r="A39" s="56" t="s">
        <v>44</v>
      </c>
      <c r="B39" s="50">
        <f>HLOOKUP(Grafik!$E$4,'Tüm Operasyonlar'!$D$1:$AG$164,40,0)</f>
        <v>5</v>
      </c>
      <c r="C39" s="50">
        <f>HLOOKUP(Grafik!$E$5,'Tüm Operasyonlar'!$D$1:$AG$164,40,0)</f>
        <v>5</v>
      </c>
    </row>
    <row r="40" spans="1:3" x14ac:dyDescent="0.25">
      <c r="A40" s="56" t="s">
        <v>126</v>
      </c>
      <c r="B40" s="50">
        <f>HLOOKUP(Grafik!$E$4,'Tüm Operasyonlar'!$D$1:$AG$164,41,0)</f>
        <v>5</v>
      </c>
      <c r="C40" s="50">
        <f>HLOOKUP(Grafik!$E$5,'Tüm Operasyonlar'!$D$1:$AG$164,41,0)</f>
        <v>5</v>
      </c>
    </row>
    <row r="41" spans="1:3" x14ac:dyDescent="0.25">
      <c r="A41" s="56" t="s">
        <v>45</v>
      </c>
      <c r="B41" s="50">
        <f>HLOOKUP(Grafik!$E$4,'Tüm Operasyonlar'!$D$1:$AG$164,42,0)</f>
        <v>5</v>
      </c>
      <c r="C41" s="50">
        <f>HLOOKUP(Grafik!$E$5,'Tüm Operasyonlar'!$D$1:$AG$164,42,0)</f>
        <v>5</v>
      </c>
    </row>
    <row r="42" spans="1:3" x14ac:dyDescent="0.25">
      <c r="A42" s="56" t="s">
        <v>128</v>
      </c>
      <c r="B42" s="50">
        <f>HLOOKUP(Grafik!$E$4,'Tüm Operasyonlar'!$D$1:$AG$164,43,0)</f>
        <v>5</v>
      </c>
      <c r="C42" s="50">
        <f>HLOOKUP(Grafik!$E$5,'Tüm Operasyonlar'!$D$1:$AG$164,43,0)</f>
        <v>3</v>
      </c>
    </row>
    <row r="43" spans="1:3" x14ac:dyDescent="0.25">
      <c r="A43" s="56" t="s">
        <v>130</v>
      </c>
      <c r="B43" s="50">
        <f>HLOOKUP(Grafik!$E$4,'Tüm Operasyonlar'!$D$1:$AG$164,44,0)</f>
        <v>5</v>
      </c>
      <c r="C43" s="50">
        <f>HLOOKUP(Grafik!$E$5,'Tüm Operasyonlar'!$D$1:$AG$164,44,0)</f>
        <v>5</v>
      </c>
    </row>
    <row r="44" spans="1:3" x14ac:dyDescent="0.25">
      <c r="A44" s="56" t="s">
        <v>132</v>
      </c>
      <c r="B44" s="50">
        <f>HLOOKUP(Grafik!$E$4,'Tüm Operasyonlar'!$D$1:$AG$164,45,0)</f>
        <v>5</v>
      </c>
      <c r="C44" s="50">
        <f>HLOOKUP(Grafik!$E$5,'Tüm Operasyonlar'!$D$1:$AG$164,45,0)</f>
        <v>3</v>
      </c>
    </row>
    <row r="45" spans="1:3" x14ac:dyDescent="0.25">
      <c r="A45" s="56" t="s">
        <v>134</v>
      </c>
      <c r="B45" s="50">
        <f>HLOOKUP(Grafik!$E$4,'Tüm Operasyonlar'!$D$1:$AG$164,46,0)</f>
        <v>5</v>
      </c>
      <c r="C45" s="50">
        <f>HLOOKUP(Grafik!$E$5,'Tüm Operasyonlar'!$D$1:$AG$164,46,0)</f>
        <v>3</v>
      </c>
    </row>
    <row r="46" spans="1:3" x14ac:dyDescent="0.25">
      <c r="A46" s="56" t="s">
        <v>136</v>
      </c>
      <c r="B46" s="50">
        <f>HLOOKUP(Grafik!$E$4,'Tüm Operasyonlar'!$D$1:$AG$164,47,0)</f>
        <v>5</v>
      </c>
      <c r="C46" s="50">
        <f>HLOOKUP(Grafik!$E$5,'Tüm Operasyonlar'!$D$1:$AG$164,47,0)</f>
        <v>3</v>
      </c>
    </row>
    <row r="47" spans="1:3" x14ac:dyDescent="0.25">
      <c r="A47" s="56" t="s">
        <v>138</v>
      </c>
      <c r="B47" s="50">
        <f>HLOOKUP(Grafik!$E$4,'Tüm Operasyonlar'!$D$1:$AG$164,48,0)</f>
        <v>5</v>
      </c>
      <c r="C47" s="50">
        <f>HLOOKUP(Grafik!$E$5,'Tüm Operasyonlar'!$D$1:$AG$164,48,0)</f>
        <v>5</v>
      </c>
    </row>
    <row r="48" spans="1:3" x14ac:dyDescent="0.25">
      <c r="A48" s="56" t="s">
        <v>140</v>
      </c>
      <c r="B48" s="50">
        <f>HLOOKUP(Grafik!$E$4,'Tüm Operasyonlar'!$D$1:$AG$164,49,0)</f>
        <v>5</v>
      </c>
      <c r="C48" s="50">
        <f>HLOOKUP(Grafik!$E$5,'Tüm Operasyonlar'!$D$1:$AG$164,49,0)</f>
        <v>5</v>
      </c>
    </row>
    <row r="49" spans="1:3" x14ac:dyDescent="0.25">
      <c r="A49" s="56" t="s">
        <v>142</v>
      </c>
      <c r="B49" s="50">
        <f>HLOOKUP(Grafik!$E$4,'Tüm Operasyonlar'!$D$1:$AG$164,50,0)</f>
        <v>5</v>
      </c>
      <c r="C49" s="50">
        <f>HLOOKUP(Grafik!$E$5,'Tüm Operasyonlar'!$D$1:$AG$164,50,0)</f>
        <v>5</v>
      </c>
    </row>
    <row r="50" spans="1:3" x14ac:dyDescent="0.25">
      <c r="A50" s="56" t="s">
        <v>144</v>
      </c>
      <c r="B50" s="50">
        <f>HLOOKUP(Grafik!$E$4,'Tüm Operasyonlar'!$D$1:$AG$164,51,0)</f>
        <v>5</v>
      </c>
      <c r="C50" s="50">
        <f>HLOOKUP(Grafik!$E$5,'Tüm Operasyonlar'!$D$1:$AG$164,51,0)</f>
        <v>5</v>
      </c>
    </row>
    <row r="51" spans="1:3" x14ac:dyDescent="0.25">
      <c r="A51" s="56" t="s">
        <v>146</v>
      </c>
      <c r="B51" s="50">
        <f>HLOOKUP(Grafik!$E$4,'Tüm Operasyonlar'!$D$1:$AG$164,52,0)</f>
        <v>5</v>
      </c>
      <c r="C51" s="50">
        <f>HLOOKUP(Grafik!$E$5,'Tüm Operasyonlar'!$D$1:$AG$164,52,0)</f>
        <v>5</v>
      </c>
    </row>
    <row r="52" spans="1:3" x14ac:dyDescent="0.25">
      <c r="A52" s="56" t="s">
        <v>148</v>
      </c>
      <c r="B52" s="50">
        <f>HLOOKUP(Grafik!$E$4,'Tüm Operasyonlar'!$D$1:$AG$164,53,0)</f>
        <v>5</v>
      </c>
      <c r="C52" s="50">
        <f>HLOOKUP(Grafik!$E$5,'Tüm Operasyonlar'!$D$1:$AG$164,53,0)</f>
        <v>5</v>
      </c>
    </row>
    <row r="53" spans="1:3" x14ac:dyDescent="0.25">
      <c r="A53" s="56" t="s">
        <v>150</v>
      </c>
      <c r="B53" s="50">
        <f>HLOOKUP(Grafik!$E$4,'Tüm Operasyonlar'!$D$1:$AG$164,54,0)</f>
        <v>5</v>
      </c>
      <c r="C53" s="50">
        <f>HLOOKUP(Grafik!$E$5,'Tüm Operasyonlar'!$D$1:$AG$164,54,0)</f>
        <v>5</v>
      </c>
    </row>
    <row r="54" spans="1:3" x14ac:dyDescent="0.25">
      <c r="A54" s="56" t="s">
        <v>152</v>
      </c>
      <c r="B54" s="50">
        <f>HLOOKUP(Grafik!$E$4,'Tüm Operasyonlar'!$D$1:$AG$164,55,0)</f>
        <v>5</v>
      </c>
      <c r="C54" s="50">
        <f>HLOOKUP(Grafik!$E$5,'Tüm Operasyonlar'!$D$1:$AG$164,55,0)</f>
        <v>5</v>
      </c>
    </row>
    <row r="55" spans="1:3" x14ac:dyDescent="0.25">
      <c r="A55" s="56" t="s">
        <v>154</v>
      </c>
      <c r="B55" s="50">
        <f>HLOOKUP(Grafik!$E$4,'Tüm Operasyonlar'!$D$1:$AG$164,56,0)</f>
        <v>5</v>
      </c>
      <c r="C55" s="50">
        <f>HLOOKUP(Grafik!$E$5,'Tüm Operasyonlar'!$D$1:$AG$164,56,0)</f>
        <v>3</v>
      </c>
    </row>
    <row r="56" spans="1:3" x14ac:dyDescent="0.25">
      <c r="A56" s="56" t="s">
        <v>156</v>
      </c>
      <c r="B56" s="50">
        <f>HLOOKUP(Grafik!$E$4,'Tüm Operasyonlar'!$D$1:$AG$164,57,0)</f>
        <v>5</v>
      </c>
      <c r="C56" s="50">
        <f>HLOOKUP(Grafik!$E$5,'Tüm Operasyonlar'!$D$1:$AG$164,57,0)</f>
        <v>5</v>
      </c>
    </row>
    <row r="57" spans="1:3" x14ac:dyDescent="0.25">
      <c r="A57" s="56" t="s">
        <v>158</v>
      </c>
      <c r="B57" s="50">
        <f>HLOOKUP(Grafik!$E$4,'Tüm Operasyonlar'!$D$1:$AG$164,58,0)</f>
        <v>5</v>
      </c>
      <c r="C57" s="50">
        <f>HLOOKUP(Grafik!$E$5,'Tüm Operasyonlar'!$D$1:$AG$164,58,0)</f>
        <v>2</v>
      </c>
    </row>
    <row r="58" spans="1:3" x14ac:dyDescent="0.25">
      <c r="A58" s="56" t="s">
        <v>29</v>
      </c>
      <c r="B58" s="50">
        <f>HLOOKUP(Grafik!$E$4,'Tüm Operasyonlar'!$D$1:$AG$164,59,0)</f>
        <v>5</v>
      </c>
      <c r="C58" s="50">
        <f>HLOOKUP(Grafik!$E$5,'Tüm Operasyonlar'!$D$1:$AG$164,59,0)</f>
        <v>5</v>
      </c>
    </row>
    <row r="59" spans="1:3" x14ac:dyDescent="0.25">
      <c r="A59" s="56" t="s">
        <v>27</v>
      </c>
      <c r="B59" s="50">
        <f>HLOOKUP(Grafik!$E$4,'Tüm Operasyonlar'!$D$1:$AG$164,60,0)</f>
        <v>5</v>
      </c>
      <c r="C59" s="50">
        <f>HLOOKUP(Grafik!$E$5,'Tüm Operasyonlar'!$D$1:$AG$164,60,0)</f>
        <v>3</v>
      </c>
    </row>
    <row r="60" spans="1:3" x14ac:dyDescent="0.25">
      <c r="A60" s="56" t="s">
        <v>46</v>
      </c>
      <c r="B60" s="50">
        <f>HLOOKUP(Grafik!$E$4,'Tüm Operasyonlar'!$D$1:$AG$164,61,0)</f>
        <v>5</v>
      </c>
      <c r="C60" s="50">
        <f>HLOOKUP(Grafik!$E$5,'Tüm Operasyonlar'!$D$1:$AG$164,61,0)</f>
        <v>5</v>
      </c>
    </row>
    <row r="61" spans="1:3" x14ac:dyDescent="0.25">
      <c r="A61" s="56" t="s">
        <v>163</v>
      </c>
      <c r="B61" s="50">
        <f>HLOOKUP(Grafik!$E$4,'Tüm Operasyonlar'!$D$1:$AG$164,62,0)</f>
        <v>5</v>
      </c>
      <c r="C61" s="50">
        <f>HLOOKUP(Grafik!$E$5,'Tüm Operasyonlar'!$D$1:$AG$164,62,0)</f>
        <v>4</v>
      </c>
    </row>
    <row r="62" spans="1:3" x14ac:dyDescent="0.25">
      <c r="A62" s="56" t="s">
        <v>165</v>
      </c>
      <c r="B62" s="50">
        <f>HLOOKUP(Grafik!$E$4,'Tüm Operasyonlar'!$D$1:$AG$164,63,0)</f>
        <v>5</v>
      </c>
      <c r="C62" s="50">
        <f>HLOOKUP(Grafik!$E$5,'Tüm Operasyonlar'!$D$1:$AG$164,63,0)</f>
        <v>5</v>
      </c>
    </row>
    <row r="63" spans="1:3" x14ac:dyDescent="0.25">
      <c r="A63" s="56" t="s">
        <v>47</v>
      </c>
      <c r="B63" s="50">
        <f>HLOOKUP(Grafik!$E$4,'Tüm Operasyonlar'!$D$1:$AG$164,64,0)</f>
        <v>5</v>
      </c>
      <c r="C63" s="50">
        <f>HLOOKUP(Grafik!$E$5,'Tüm Operasyonlar'!$D$1:$AG$164,64,0)</f>
        <v>5</v>
      </c>
    </row>
    <row r="64" spans="1:3" x14ac:dyDescent="0.25">
      <c r="A64" s="56" t="s">
        <v>167</v>
      </c>
      <c r="B64" s="50">
        <f>HLOOKUP(Grafik!$E$4,'Tüm Operasyonlar'!$D$1:$AG$164,65,0)</f>
        <v>5</v>
      </c>
      <c r="C64" s="50">
        <f>HLOOKUP(Grafik!$E$5,'Tüm Operasyonlar'!$D$1:$AG$164,65,0)</f>
        <v>5</v>
      </c>
    </row>
    <row r="65" spans="1:3" x14ac:dyDescent="0.25">
      <c r="A65" s="56" t="s">
        <v>341</v>
      </c>
      <c r="B65" s="50" t="str">
        <f>HLOOKUP(Grafik!$E$4,'Tüm Operasyonlar'!$D$1:$AG$164,66,0)</f>
        <v>-</v>
      </c>
      <c r="C65" s="50" t="str">
        <f>HLOOKUP(Grafik!$E$5,'Tüm Operasyonlar'!$D$1:$AG$164,66,0)</f>
        <v>-</v>
      </c>
    </row>
    <row r="66" spans="1:3" x14ac:dyDescent="0.25">
      <c r="A66" s="55" t="s">
        <v>342</v>
      </c>
      <c r="B66" s="50" t="str">
        <f>HLOOKUP(Grafik!$E$4,'Tüm Operasyonlar'!$D$1:$AG$164,67,0)</f>
        <v>-</v>
      </c>
      <c r="C66" s="50" t="str">
        <f>HLOOKUP(Grafik!$E$5,'Tüm Operasyonlar'!$D$1:$AG$164,67,0)</f>
        <v>-</v>
      </c>
    </row>
    <row r="67" spans="1:3" x14ac:dyDescent="0.25">
      <c r="A67" s="55" t="s">
        <v>343</v>
      </c>
      <c r="B67" s="50" t="str">
        <f>HLOOKUP(Grafik!$E$4,'Tüm Operasyonlar'!$D$1:$AG$164,68,0)</f>
        <v>-</v>
      </c>
      <c r="C67" s="50" t="str">
        <f>HLOOKUP(Grafik!$E$5,'Tüm Operasyonlar'!$D$1:$AG$164,68,0)</f>
        <v>-</v>
      </c>
    </row>
    <row r="68" spans="1:3" x14ac:dyDescent="0.25">
      <c r="A68" s="55" t="s">
        <v>344</v>
      </c>
      <c r="B68" s="50" t="str">
        <f>HLOOKUP(Grafik!$E$4,'Tüm Operasyonlar'!$D$1:$AG$164,69,0)</f>
        <v>-</v>
      </c>
      <c r="C68" s="50" t="str">
        <f>HLOOKUP(Grafik!$E$5,'Tüm Operasyonlar'!$D$1:$AG$164,69,0)</f>
        <v>-</v>
      </c>
    </row>
    <row r="69" spans="1:3" x14ac:dyDescent="0.25">
      <c r="A69" s="55" t="s">
        <v>345</v>
      </c>
      <c r="B69" s="50" t="str">
        <f>HLOOKUP(Grafik!$E$4,'Tüm Operasyonlar'!$D$1:$AG$164,70,0)</f>
        <v>-</v>
      </c>
      <c r="C69" s="50" t="str">
        <f>HLOOKUP(Grafik!$E$5,'Tüm Operasyonlar'!$D$1:$AG$164,70,0)</f>
        <v>-</v>
      </c>
    </row>
    <row r="70" spans="1:3" x14ac:dyDescent="0.25">
      <c r="A70" s="55" t="s">
        <v>346</v>
      </c>
      <c r="B70" s="50" t="str">
        <f>HLOOKUP(Grafik!$E$4,'Tüm Operasyonlar'!$D$1:$AG$164,71,0)</f>
        <v>-</v>
      </c>
      <c r="C70" s="50" t="str">
        <f>HLOOKUP(Grafik!$E$5,'Tüm Operasyonlar'!$D$1:$AG$164,71,0)</f>
        <v>-</v>
      </c>
    </row>
    <row r="71" spans="1:3" x14ac:dyDescent="0.25">
      <c r="A71" s="55" t="s">
        <v>347</v>
      </c>
      <c r="B71" s="50" t="str">
        <f>HLOOKUP(Grafik!$E$4,'Tüm Operasyonlar'!$D$1:$AG$164,72,0)</f>
        <v>-</v>
      </c>
      <c r="C71" s="50" t="str">
        <f>HLOOKUP(Grafik!$E$5,'Tüm Operasyonlar'!$D$1:$AG$164,72,0)</f>
        <v>-</v>
      </c>
    </row>
    <row r="72" spans="1:3" x14ac:dyDescent="0.25">
      <c r="A72" s="55" t="s">
        <v>348</v>
      </c>
      <c r="B72" s="50" t="str">
        <f>HLOOKUP(Grafik!$E$4,'Tüm Operasyonlar'!$D$1:$AG$164,73,0)</f>
        <v>-</v>
      </c>
      <c r="C72" s="50" t="str">
        <f>HLOOKUP(Grafik!$E$5,'Tüm Operasyonlar'!$D$1:$AG$164,73,0)</f>
        <v>-</v>
      </c>
    </row>
    <row r="73" spans="1:3" x14ac:dyDescent="0.25">
      <c r="A73" s="55" t="s">
        <v>349</v>
      </c>
      <c r="B73" s="50" t="str">
        <f>HLOOKUP(Grafik!$E$4,'Tüm Operasyonlar'!$D$1:$AG$164,74,0)</f>
        <v>-</v>
      </c>
      <c r="C73" s="50" t="str">
        <f>HLOOKUP(Grafik!$E$5,'Tüm Operasyonlar'!$D$1:$AG$164,74,0)</f>
        <v>-</v>
      </c>
    </row>
    <row r="74" spans="1:3" x14ac:dyDescent="0.25">
      <c r="A74" s="55" t="s">
        <v>169</v>
      </c>
      <c r="B74" s="50">
        <f>HLOOKUP(Grafik!$E$4,'Tüm Operasyonlar'!$D$1:$AG$164,75,0)</f>
        <v>5</v>
      </c>
      <c r="C74" s="50">
        <f>HLOOKUP(Grafik!$E$5,'Tüm Operasyonlar'!$D$1:$AG$164,75,0)</f>
        <v>3</v>
      </c>
    </row>
    <row r="75" spans="1:3" x14ac:dyDescent="0.25">
      <c r="A75" s="56" t="s">
        <v>171</v>
      </c>
      <c r="B75" s="50">
        <f>HLOOKUP(Grafik!$E$4,'Tüm Operasyonlar'!$D$1:$AG$164,76,0)</f>
        <v>5</v>
      </c>
      <c r="C75" s="50">
        <f>HLOOKUP(Grafik!$E$5,'Tüm Operasyonlar'!$D$1:$AG$164,76,0)</f>
        <v>5</v>
      </c>
    </row>
    <row r="76" spans="1:3" x14ac:dyDescent="0.25">
      <c r="A76" s="56" t="s">
        <v>173</v>
      </c>
      <c r="B76" s="50">
        <f>HLOOKUP(Grafik!$E$4,'Tüm Operasyonlar'!$D$1:$AG$164,77,0)</f>
        <v>5</v>
      </c>
      <c r="C76" s="50">
        <f>HLOOKUP(Grafik!$E$5,'Tüm Operasyonlar'!$D$1:$AG$164,77,0)</f>
        <v>5</v>
      </c>
    </row>
    <row r="77" spans="1:3" x14ac:dyDescent="0.25">
      <c r="A77" s="56" t="s">
        <v>82</v>
      </c>
      <c r="B77" s="50">
        <f>HLOOKUP(Grafik!$E$4,'Tüm Operasyonlar'!$D$1:$AG$164,78,0)</f>
        <v>5</v>
      </c>
      <c r="C77" s="50">
        <f>HLOOKUP(Grafik!$E$5,'Tüm Operasyonlar'!$D$1:$AG$164,78,0)</f>
        <v>5</v>
      </c>
    </row>
    <row r="78" spans="1:3" x14ac:dyDescent="0.25">
      <c r="A78" s="56" t="s">
        <v>175</v>
      </c>
      <c r="B78" s="50">
        <f>HLOOKUP(Grafik!$E$4,'Tüm Operasyonlar'!$D$1:$AG$164,79,0)</f>
        <v>5</v>
      </c>
      <c r="C78" s="50">
        <f>HLOOKUP(Grafik!$E$5,'Tüm Operasyonlar'!$D$1:$AG$164,79,0)</f>
        <v>3</v>
      </c>
    </row>
    <row r="79" spans="1:3" x14ac:dyDescent="0.25">
      <c r="A79" s="56" t="s">
        <v>177</v>
      </c>
      <c r="B79" s="50">
        <f>HLOOKUP(Grafik!$E$4,'Tüm Operasyonlar'!$D$1:$AG$164,80,0)</f>
        <v>5</v>
      </c>
      <c r="C79" s="50">
        <f>HLOOKUP(Grafik!$E$5,'Tüm Operasyonlar'!$D$1:$AG$164,80,0)</f>
        <v>5</v>
      </c>
    </row>
    <row r="80" spans="1:3" x14ac:dyDescent="0.25">
      <c r="A80" s="56" t="s">
        <v>36</v>
      </c>
      <c r="B80" s="50">
        <f>HLOOKUP(Grafik!$E$4,'Tüm Operasyonlar'!$D$1:$AG$164,81,0)</f>
        <v>5</v>
      </c>
      <c r="C80" s="50">
        <f>HLOOKUP(Grafik!$E$5,'Tüm Operasyonlar'!$D$1:$AG$164,81,0)</f>
        <v>2</v>
      </c>
    </row>
    <row r="81" spans="1:3" x14ac:dyDescent="0.25">
      <c r="A81" s="56" t="s">
        <v>71</v>
      </c>
      <c r="B81" s="50">
        <f>HLOOKUP(Grafik!$E$4,'Tüm Operasyonlar'!$D$1:$AG$164,82,0)</f>
        <v>5</v>
      </c>
      <c r="C81" s="50">
        <f>HLOOKUP(Grafik!$E$5,'Tüm Operasyonlar'!$D$1:$AG$164,82,0)</f>
        <v>2</v>
      </c>
    </row>
    <row r="82" spans="1:3" x14ac:dyDescent="0.25">
      <c r="A82" s="56" t="s">
        <v>75</v>
      </c>
      <c r="B82" s="50">
        <f>HLOOKUP(Grafik!$E$4,'Tüm Operasyonlar'!$D$1:$AG$164,83,0)</f>
        <v>5</v>
      </c>
      <c r="C82" s="50">
        <f>HLOOKUP(Grafik!$E$5,'Tüm Operasyonlar'!$D$1:$AG$164,83,0)</f>
        <v>5</v>
      </c>
    </row>
    <row r="83" spans="1:3" x14ac:dyDescent="0.25">
      <c r="A83" s="56" t="s">
        <v>84</v>
      </c>
      <c r="B83" s="50">
        <f>HLOOKUP(Grafik!$E$4,'Tüm Operasyonlar'!$D$1:$AG$164,84,0)</f>
        <v>5</v>
      </c>
      <c r="C83" s="50">
        <f>HLOOKUP(Grafik!$E$5,'Tüm Operasyonlar'!$D$1:$AG$164,84,0)</f>
        <v>5</v>
      </c>
    </row>
    <row r="84" spans="1:3" x14ac:dyDescent="0.25">
      <c r="A84" s="56" t="s">
        <v>86</v>
      </c>
      <c r="B84" s="50">
        <f>HLOOKUP(Grafik!$E$4,'Tüm Operasyonlar'!$D$1:$AG$164,85,0)</f>
        <v>5</v>
      </c>
      <c r="C84" s="50">
        <f>HLOOKUP(Grafik!$E$5,'Tüm Operasyonlar'!$D$1:$AG$164,85,0)</f>
        <v>5</v>
      </c>
    </row>
    <row r="85" spans="1:3" x14ac:dyDescent="0.25">
      <c r="A85" s="56" t="s">
        <v>179</v>
      </c>
      <c r="B85" s="50">
        <f>HLOOKUP(Grafik!$E$4,'Tüm Operasyonlar'!$D$1:$AG$164,86,0)</f>
        <v>5</v>
      </c>
      <c r="C85" s="50">
        <f>HLOOKUP(Grafik!$E$5,'Tüm Operasyonlar'!$D$1:$AG$164,86,0)</f>
        <v>2</v>
      </c>
    </row>
    <row r="86" spans="1:3" x14ac:dyDescent="0.25">
      <c r="A86" s="56" t="s">
        <v>112</v>
      </c>
      <c r="B86" s="50">
        <f>HLOOKUP(Grafik!$E$4,'Tüm Operasyonlar'!$D$1:$AG$164,87,0)</f>
        <v>5</v>
      </c>
      <c r="C86" s="50">
        <f>HLOOKUP(Grafik!$E$5,'Tüm Operasyonlar'!$D$1:$AG$164,87,0)</f>
        <v>3</v>
      </c>
    </row>
    <row r="87" spans="1:3" x14ac:dyDescent="0.25">
      <c r="A87" s="56" t="s">
        <v>88</v>
      </c>
      <c r="B87" s="50">
        <f>HLOOKUP(Grafik!$E$4,'Tüm Operasyonlar'!$D$1:$AG$164,88,0)</f>
        <v>5</v>
      </c>
      <c r="C87" s="50">
        <f>HLOOKUP(Grafik!$E$5,'Tüm Operasyonlar'!$D$1:$AG$164,88,0)</f>
        <v>1</v>
      </c>
    </row>
    <row r="88" spans="1:3" x14ac:dyDescent="0.25">
      <c r="A88" s="56" t="s">
        <v>181</v>
      </c>
      <c r="B88" s="50">
        <f>HLOOKUP(Grafik!$E$4,'Tüm Operasyonlar'!$D$1:$AG$164,89,0)</f>
        <v>5</v>
      </c>
      <c r="C88" s="50">
        <f>HLOOKUP(Grafik!$E$5,'Tüm Operasyonlar'!$D$1:$AG$164,89,0)</f>
        <v>1</v>
      </c>
    </row>
    <row r="89" spans="1:3" x14ac:dyDescent="0.25">
      <c r="A89" s="56" t="s">
        <v>183</v>
      </c>
      <c r="B89" s="50">
        <f>HLOOKUP(Grafik!$E$4,'Tüm Operasyonlar'!$D$1:$AG$164,90,0)</f>
        <v>5</v>
      </c>
      <c r="C89" s="50">
        <f>HLOOKUP(Grafik!$E$5,'Tüm Operasyonlar'!$D$1:$AG$164,90,0)</f>
        <v>1</v>
      </c>
    </row>
    <row r="90" spans="1:3" x14ac:dyDescent="0.25">
      <c r="A90" s="56" t="s">
        <v>54</v>
      </c>
      <c r="B90" s="50">
        <f>HLOOKUP(Grafik!$E$4,'Tüm Operasyonlar'!$D$1:$AG$164,91,0)</f>
        <v>5</v>
      </c>
      <c r="C90" s="50">
        <f>HLOOKUP(Grafik!$E$5,'Tüm Operasyonlar'!$D$1:$AG$164,91,0)</f>
        <v>5</v>
      </c>
    </row>
    <row r="91" spans="1:3" x14ac:dyDescent="0.25">
      <c r="A91" s="56" t="s">
        <v>185</v>
      </c>
      <c r="B91" s="50">
        <f>HLOOKUP(Grafik!$E$4,'Tüm Operasyonlar'!$D$1:$AG$164,92,0)</f>
        <v>5</v>
      </c>
      <c r="C91" s="50">
        <f>HLOOKUP(Grafik!$E$5,'Tüm Operasyonlar'!$D$1:$AG$164,92,0)</f>
        <v>5</v>
      </c>
    </row>
    <row r="92" spans="1:3" x14ac:dyDescent="0.25">
      <c r="A92" s="56" t="s">
        <v>90</v>
      </c>
      <c r="B92" s="50">
        <f>HLOOKUP(Grafik!$E$4,'Tüm Operasyonlar'!$D$1:$AG$164,93,0)</f>
        <v>5</v>
      </c>
      <c r="C92" s="50">
        <f>HLOOKUP(Grafik!$E$5,'Tüm Operasyonlar'!$D$1:$AG$164,93,0)</f>
        <v>3</v>
      </c>
    </row>
    <row r="93" spans="1:3" x14ac:dyDescent="0.25">
      <c r="A93" s="56" t="s">
        <v>187</v>
      </c>
      <c r="B93" s="50">
        <f>HLOOKUP(Grafik!$E$4,'Tüm Operasyonlar'!$D$1:$AG$164,94,0)</f>
        <v>5</v>
      </c>
      <c r="C93" s="50">
        <f>HLOOKUP(Grafik!$E$5,'Tüm Operasyonlar'!$D$1:$AG$164,94,0)</f>
        <v>3</v>
      </c>
    </row>
    <row r="94" spans="1:3" x14ac:dyDescent="0.25">
      <c r="A94" s="56" t="s">
        <v>189</v>
      </c>
      <c r="B94" s="50">
        <f>HLOOKUP(Grafik!$E$4,'Tüm Operasyonlar'!$D$1:$AG$164,95,0)</f>
        <v>5</v>
      </c>
      <c r="C94" s="50">
        <f>HLOOKUP(Grafik!$E$5,'Tüm Operasyonlar'!$D$1:$AG$164,95,0)</f>
        <v>5</v>
      </c>
    </row>
    <row r="95" spans="1:3" x14ac:dyDescent="0.25">
      <c r="A95" s="56" t="s">
        <v>191</v>
      </c>
      <c r="B95" s="50">
        <f>HLOOKUP(Grafik!$E$4,'Tüm Operasyonlar'!$D$1:$AG$164,96,0)</f>
        <v>5</v>
      </c>
      <c r="C95" s="50">
        <f>HLOOKUP(Grafik!$E$5,'Tüm Operasyonlar'!$D$1:$AG$164,96,0)</f>
        <v>5</v>
      </c>
    </row>
    <row r="96" spans="1:3" x14ac:dyDescent="0.25">
      <c r="A96" s="56" t="s">
        <v>193</v>
      </c>
      <c r="B96" s="50">
        <f>HLOOKUP(Grafik!$E$4,'Tüm Operasyonlar'!$D$1:$AG$164,97,0)</f>
        <v>5</v>
      </c>
      <c r="C96" s="50">
        <f>HLOOKUP(Grafik!$E$5,'Tüm Operasyonlar'!$D$1:$AG$164,97,0)</f>
        <v>3</v>
      </c>
    </row>
    <row r="97" spans="1:3" x14ac:dyDescent="0.25">
      <c r="A97" s="56" t="s">
        <v>195</v>
      </c>
      <c r="B97" s="50">
        <f>HLOOKUP(Grafik!$E$4,'Tüm Operasyonlar'!$D$1:$AG$164,98,0)</f>
        <v>5</v>
      </c>
      <c r="C97" s="50">
        <f>HLOOKUP(Grafik!$E$5,'Tüm Operasyonlar'!$D$1:$AG$164,98,0)</f>
        <v>3</v>
      </c>
    </row>
    <row r="98" spans="1:3" x14ac:dyDescent="0.25">
      <c r="A98" s="56" t="s">
        <v>197</v>
      </c>
      <c r="B98" s="50">
        <f>HLOOKUP(Grafik!$E$4,'Tüm Operasyonlar'!$D$1:$AG$164,99,0)</f>
        <v>5</v>
      </c>
      <c r="C98" s="50">
        <f>HLOOKUP(Grafik!$E$5,'Tüm Operasyonlar'!$D$1:$AG$164,99,0)</f>
        <v>3</v>
      </c>
    </row>
    <row r="99" spans="1:3" x14ac:dyDescent="0.25">
      <c r="A99" s="56" t="s">
        <v>92</v>
      </c>
      <c r="B99" s="50">
        <f>HLOOKUP(Grafik!$E$4,'Tüm Operasyonlar'!$D$1:$AG$164,100,0)</f>
        <v>5</v>
      </c>
      <c r="C99" s="50">
        <f>HLOOKUP(Grafik!$E$5,'Tüm Operasyonlar'!$D$1:$AG$164,100,0)</f>
        <v>5</v>
      </c>
    </row>
    <row r="100" spans="1:3" x14ac:dyDescent="0.25">
      <c r="A100" s="56" t="s">
        <v>40</v>
      </c>
      <c r="B100" s="50">
        <f>HLOOKUP(Grafik!$E$4,'Tüm Operasyonlar'!$D$1:$AG$164,101,0)</f>
        <v>5</v>
      </c>
      <c r="C100" s="50">
        <f>HLOOKUP(Grafik!$E$5,'Tüm Operasyonlar'!$D$1:$AG$164,101,0)</f>
        <v>5</v>
      </c>
    </row>
    <row r="101" spans="1:3" x14ac:dyDescent="0.25">
      <c r="A101" s="56" t="s">
        <v>73</v>
      </c>
      <c r="B101" s="50">
        <f>HLOOKUP(Grafik!$E$4,'Tüm Operasyonlar'!$D$1:$AG$164,102,0)</f>
        <v>5</v>
      </c>
      <c r="C101" s="50">
        <f>HLOOKUP(Grafik!$E$5,'Tüm Operasyonlar'!$D$1:$AG$164,102,0)</f>
        <v>5</v>
      </c>
    </row>
    <row r="102" spans="1:3" x14ac:dyDescent="0.25">
      <c r="A102" s="56" t="s">
        <v>94</v>
      </c>
      <c r="B102" s="50">
        <f>HLOOKUP(Grafik!$E$4,'Tüm Operasyonlar'!$D$1:$AG$164,103,0)</f>
        <v>5</v>
      </c>
      <c r="C102" s="50">
        <f>HLOOKUP(Grafik!$E$5,'Tüm Operasyonlar'!$D$1:$AG$164,103,0)</f>
        <v>1</v>
      </c>
    </row>
    <row r="103" spans="1:3" x14ac:dyDescent="0.25">
      <c r="A103" s="56" t="s">
        <v>67</v>
      </c>
      <c r="B103" s="50">
        <f>HLOOKUP(Grafik!$E$4,'Tüm Operasyonlar'!$D$1:$AG$164,104,0)</f>
        <v>5</v>
      </c>
      <c r="C103" s="50">
        <f>HLOOKUP(Grafik!$E$5,'Tüm Operasyonlar'!$D$1:$AG$164,104,0)</f>
        <v>5</v>
      </c>
    </row>
    <row r="104" spans="1:3" x14ac:dyDescent="0.25">
      <c r="A104" s="56" t="s">
        <v>199</v>
      </c>
      <c r="B104" s="50">
        <f>HLOOKUP(Grafik!$E$4,'Tüm Operasyonlar'!$D$1:$AG$164,105,0)</f>
        <v>5</v>
      </c>
      <c r="C104" s="50">
        <f>HLOOKUP(Grafik!$E$5,'Tüm Operasyonlar'!$D$1:$AG$164,105,0)</f>
        <v>5</v>
      </c>
    </row>
    <row r="105" spans="1:3" x14ac:dyDescent="0.25">
      <c r="A105" s="56" t="s">
        <v>201</v>
      </c>
      <c r="B105" s="50">
        <f>HLOOKUP(Grafik!$E$4,'Tüm Operasyonlar'!$D$1:$AG$164,106,0)</f>
        <v>5</v>
      </c>
      <c r="C105" s="50">
        <f>HLOOKUP(Grafik!$E$5,'Tüm Operasyonlar'!$D$1:$AG$164,106,0)</f>
        <v>3</v>
      </c>
    </row>
    <row r="106" spans="1:3" x14ac:dyDescent="0.25">
      <c r="A106" s="56" t="s">
        <v>203</v>
      </c>
      <c r="B106" s="50">
        <f>HLOOKUP(Grafik!$E$4,'Tüm Operasyonlar'!$D$1:$AG$164,107,0)</f>
        <v>5</v>
      </c>
      <c r="C106" s="50">
        <f>HLOOKUP(Grafik!$E$5,'Tüm Operasyonlar'!$D$1:$AG$164,107,0)</f>
        <v>4</v>
      </c>
    </row>
    <row r="107" spans="1:3" x14ac:dyDescent="0.25">
      <c r="A107" s="56" t="s">
        <v>205</v>
      </c>
      <c r="B107" s="50">
        <f>HLOOKUP(Grafik!$E$4,'Tüm Operasyonlar'!$D$1:$AG$164,108,0)</f>
        <v>5</v>
      </c>
      <c r="C107" s="50">
        <f>HLOOKUP(Grafik!$E$5,'Tüm Operasyonlar'!$D$1:$AG$164,108,0)</f>
        <v>4</v>
      </c>
    </row>
    <row r="108" spans="1:3" x14ac:dyDescent="0.25">
      <c r="A108" s="56" t="s">
        <v>207</v>
      </c>
      <c r="B108" s="50">
        <f>HLOOKUP(Grafik!$E$4,'Tüm Operasyonlar'!$D$1:$AG$164,109,0)</f>
        <v>5</v>
      </c>
      <c r="C108" s="50">
        <f>HLOOKUP(Grafik!$E$5,'Tüm Operasyonlar'!$D$1:$AG$164,109,0)</f>
        <v>5</v>
      </c>
    </row>
    <row r="109" spans="1:3" x14ac:dyDescent="0.25">
      <c r="A109" s="56" t="s">
        <v>209</v>
      </c>
      <c r="B109" s="50">
        <f>HLOOKUP(Grafik!$E$4,'Tüm Operasyonlar'!$D$1:$AG$164,110,0)</f>
        <v>5</v>
      </c>
      <c r="C109" s="50">
        <f>HLOOKUP(Grafik!$E$5,'Tüm Operasyonlar'!$D$1:$AG$164,110,0)</f>
        <v>5</v>
      </c>
    </row>
    <row r="110" spans="1:3" x14ac:dyDescent="0.25">
      <c r="A110" s="56" t="s">
        <v>211</v>
      </c>
      <c r="B110" s="50">
        <f>HLOOKUP(Grafik!$E$4,'Tüm Operasyonlar'!$D$1:$AG$164,111,0)</f>
        <v>5</v>
      </c>
      <c r="C110" s="50">
        <f>HLOOKUP(Grafik!$E$5,'Tüm Operasyonlar'!$D$1:$AG$164,111,0)</f>
        <v>5</v>
      </c>
    </row>
    <row r="111" spans="1:3" x14ac:dyDescent="0.25">
      <c r="A111" s="56" t="s">
        <v>96</v>
      </c>
      <c r="B111" s="50">
        <f>HLOOKUP(Grafik!$E$4,'Tüm Operasyonlar'!$D$1:$AG$164,112,0)</f>
        <v>5</v>
      </c>
      <c r="C111" s="50">
        <f>HLOOKUP(Grafik!$E$5,'Tüm Operasyonlar'!$D$1:$AG$164,112,0)</f>
        <v>3</v>
      </c>
    </row>
    <row r="112" spans="1:3" x14ac:dyDescent="0.25">
      <c r="A112" s="56" t="s">
        <v>213</v>
      </c>
      <c r="B112" s="50">
        <f>HLOOKUP(Grafik!$E$4,'Tüm Operasyonlar'!$D$1:$AG$164,113,0)</f>
        <v>5</v>
      </c>
      <c r="C112" s="50">
        <f>HLOOKUP(Grafik!$E$5,'Tüm Operasyonlar'!$D$1:$AG$164,113,0)</f>
        <v>3</v>
      </c>
    </row>
    <row r="113" spans="1:3" x14ac:dyDescent="0.25">
      <c r="A113" s="56" t="s">
        <v>215</v>
      </c>
      <c r="B113" s="50">
        <f>HLOOKUP(Grafik!$E$4,'Tüm Operasyonlar'!$D$1:$AG$164,114,0)</f>
        <v>5</v>
      </c>
      <c r="C113" s="50">
        <f>HLOOKUP(Grafik!$E$5,'Tüm Operasyonlar'!$D$1:$AG$164,114,0)</f>
        <v>1</v>
      </c>
    </row>
    <row r="114" spans="1:3" x14ac:dyDescent="0.25">
      <c r="A114" s="56" t="s">
        <v>57</v>
      </c>
      <c r="B114" s="50">
        <f>HLOOKUP(Grafik!$E$4,'Tüm Operasyonlar'!$D$1:$AG$164,115,0)</f>
        <v>5</v>
      </c>
      <c r="C114" s="50">
        <f>HLOOKUP(Grafik!$E$5,'Tüm Operasyonlar'!$D$1:$AG$164,115,0)</f>
        <v>5</v>
      </c>
    </row>
    <row r="115" spans="1:3" x14ac:dyDescent="0.25">
      <c r="A115" s="56" t="s">
        <v>59</v>
      </c>
      <c r="B115" s="50">
        <f>HLOOKUP(Grafik!$E$4,'Tüm Operasyonlar'!$D$1:$AG$164,116,0)</f>
        <v>5</v>
      </c>
      <c r="C115" s="50">
        <f>HLOOKUP(Grafik!$E$5,'Tüm Operasyonlar'!$D$1:$AG$164,116,0)</f>
        <v>5</v>
      </c>
    </row>
    <row r="116" spans="1:3" x14ac:dyDescent="0.25">
      <c r="A116" s="56" t="s">
        <v>61</v>
      </c>
      <c r="B116" s="50">
        <f>HLOOKUP(Grafik!$E$4,'Tüm Operasyonlar'!$D$1:$AG$164,117,0)</f>
        <v>5</v>
      </c>
      <c r="C116" s="50">
        <f>HLOOKUP(Grafik!$E$5,'Tüm Operasyonlar'!$D$1:$AG$164,117,0)</f>
        <v>5</v>
      </c>
    </row>
    <row r="117" spans="1:3" x14ac:dyDescent="0.25">
      <c r="A117" s="56" t="s">
        <v>63</v>
      </c>
      <c r="B117" s="50">
        <f>HLOOKUP(Grafik!$E$4,'Tüm Operasyonlar'!$D$1:$AG$164,118,0)</f>
        <v>5</v>
      </c>
      <c r="C117" s="50">
        <f>HLOOKUP(Grafik!$E$5,'Tüm Operasyonlar'!$D$1:$AG$164,118,0)</f>
        <v>5</v>
      </c>
    </row>
    <row r="118" spans="1:3" x14ac:dyDescent="0.25">
      <c r="A118" s="56" t="s">
        <v>65</v>
      </c>
      <c r="B118" s="50">
        <f>HLOOKUP(Grafik!$E$4,'Tüm Operasyonlar'!$D$1:$AG$164,119,0)</f>
        <v>5</v>
      </c>
      <c r="C118" s="50">
        <f>HLOOKUP(Grafik!$E$5,'Tüm Operasyonlar'!$D$1:$AG$164,119,0)</f>
        <v>5</v>
      </c>
    </row>
    <row r="119" spans="1:3" x14ac:dyDescent="0.25">
      <c r="A119" s="56" t="s">
        <v>217</v>
      </c>
      <c r="B119" s="50">
        <f>HLOOKUP(Grafik!$E$4,'Tüm Operasyonlar'!$D$1:$AG$164,120,0)</f>
        <v>5</v>
      </c>
      <c r="C119" s="50">
        <f>HLOOKUP(Grafik!$E$5,'Tüm Operasyonlar'!$D$1:$AG$164,120,0)</f>
        <v>5</v>
      </c>
    </row>
    <row r="120" spans="1:3" x14ac:dyDescent="0.25">
      <c r="A120" s="56" t="s">
        <v>219</v>
      </c>
      <c r="B120" s="50">
        <f>HLOOKUP(Grafik!$E$4,'Tüm Operasyonlar'!$D$1:$AG$164,121,0)</f>
        <v>5</v>
      </c>
      <c r="C120" s="50">
        <f>HLOOKUP(Grafik!$E$5,'Tüm Operasyonlar'!$D$1:$AG$164,121,0)</f>
        <v>5</v>
      </c>
    </row>
    <row r="121" spans="1:3" x14ac:dyDescent="0.25">
      <c r="A121" s="56" t="s">
        <v>220</v>
      </c>
      <c r="B121" s="50">
        <f>HLOOKUP(Grafik!$E$4,'Tüm Operasyonlar'!$D$1:$AG$164,122,0)</f>
        <v>5</v>
      </c>
      <c r="C121" s="50">
        <f>HLOOKUP(Grafik!$E$5,'Tüm Operasyonlar'!$D$1:$AG$164,122,0)</f>
        <v>3</v>
      </c>
    </row>
    <row r="122" spans="1:3" x14ac:dyDescent="0.25">
      <c r="A122" s="56" t="s">
        <v>99</v>
      </c>
      <c r="B122" s="50">
        <f>HLOOKUP(Grafik!$E$4,'Tüm Operasyonlar'!$D$1:$AG$164,123,0)</f>
        <v>5</v>
      </c>
      <c r="C122" s="50">
        <f>HLOOKUP(Grafik!$E$5,'Tüm Operasyonlar'!$D$1:$AG$164,123,0)</f>
        <v>3</v>
      </c>
    </row>
    <row r="123" spans="1:3" x14ac:dyDescent="0.25">
      <c r="A123" s="56" t="s">
        <v>101</v>
      </c>
      <c r="B123" s="50">
        <f>HLOOKUP(Grafik!$E$4,'Tüm Operasyonlar'!$D$1:$AG$164,124,0)</f>
        <v>5</v>
      </c>
      <c r="C123" s="50">
        <f>HLOOKUP(Grafik!$E$5,'Tüm Operasyonlar'!$D$1:$AG$164,124,0)</f>
        <v>5</v>
      </c>
    </row>
    <row r="124" spans="1:3" x14ac:dyDescent="0.25">
      <c r="A124" s="56" t="s">
        <v>222</v>
      </c>
      <c r="B124" s="50">
        <f>HLOOKUP(Grafik!$E$4,'Tüm Operasyonlar'!$D$1:$AG$164,125,0)</f>
        <v>5</v>
      </c>
      <c r="C124" s="50">
        <f>HLOOKUP(Grafik!$E$5,'Tüm Operasyonlar'!$D$1:$AG$164,125,0)</f>
        <v>5</v>
      </c>
    </row>
    <row r="125" spans="1:3" x14ac:dyDescent="0.25">
      <c r="A125" s="56" t="s">
        <v>154</v>
      </c>
      <c r="B125" s="50">
        <f>HLOOKUP(Grafik!$E$4,'Tüm Operasyonlar'!$D$1:$AG$164,126,0)</f>
        <v>5</v>
      </c>
      <c r="C125" s="50">
        <f>HLOOKUP(Grafik!$E$5,'Tüm Operasyonlar'!$D$1:$AG$164,126,0)</f>
        <v>3</v>
      </c>
    </row>
    <row r="126" spans="1:3" x14ac:dyDescent="0.25">
      <c r="A126" s="56" t="s">
        <v>156</v>
      </c>
      <c r="B126" s="50">
        <f>HLOOKUP(Grafik!$E$4,'Tüm Operasyonlar'!$D$1:$AG$164,127,0)</f>
        <v>5</v>
      </c>
      <c r="C126" s="50">
        <f>HLOOKUP(Grafik!$E$5,'Tüm Operasyonlar'!$D$1:$AG$164,127,0)</f>
        <v>5</v>
      </c>
    </row>
    <row r="127" spans="1:3" x14ac:dyDescent="0.25">
      <c r="A127" s="56" t="s">
        <v>224</v>
      </c>
      <c r="B127" s="50">
        <f>HLOOKUP(Grafik!$E$4,'Tüm Operasyonlar'!$D$1:$AG$164,128,0)</f>
        <v>5</v>
      </c>
      <c r="C127" s="50">
        <f>HLOOKUP(Grafik!$E$5,'Tüm Operasyonlar'!$D$1:$AG$164,128,0)</f>
        <v>5</v>
      </c>
    </row>
    <row r="128" spans="1:3" x14ac:dyDescent="0.25">
      <c r="A128" s="56" t="s">
        <v>226</v>
      </c>
      <c r="B128" s="50">
        <f>HLOOKUP(Grafik!$E$4,'Tüm Operasyonlar'!$D$1:$AG$164,129,0)</f>
        <v>5</v>
      </c>
      <c r="C128" s="50">
        <f>HLOOKUP(Grafik!$E$5,'Tüm Operasyonlar'!$D$1:$AG$164,129,0)</f>
        <v>5</v>
      </c>
    </row>
    <row r="129" spans="1:3" x14ac:dyDescent="0.25">
      <c r="A129" s="56" t="s">
        <v>227</v>
      </c>
      <c r="B129" s="50">
        <f>HLOOKUP(Grafik!$E$4,'Tüm Operasyonlar'!$D$1:$AG$164,130,0)</f>
        <v>5</v>
      </c>
      <c r="C129" s="50">
        <f>HLOOKUP(Grafik!$E$5,'Tüm Operasyonlar'!$D$1:$AG$164,130,0)</f>
        <v>2</v>
      </c>
    </row>
    <row r="130" spans="1:3" x14ac:dyDescent="0.25">
      <c r="A130" s="56" t="s">
        <v>228</v>
      </c>
      <c r="B130" s="50">
        <f>HLOOKUP(Grafik!$E$4,'Tüm Operasyonlar'!$D$1:$AG$164,131,0)</f>
        <v>5</v>
      </c>
      <c r="C130" s="50">
        <f>HLOOKUP(Grafik!$E$5,'Tüm Operasyonlar'!$D$1:$AG$164,131,0)</f>
        <v>2</v>
      </c>
    </row>
    <row r="131" spans="1:3" x14ac:dyDescent="0.25">
      <c r="A131" s="56" t="s">
        <v>230</v>
      </c>
      <c r="B131" s="50">
        <f>HLOOKUP(Grafik!$E$4,'Tüm Operasyonlar'!$D$1:$AG$164,132,0)</f>
        <v>5</v>
      </c>
      <c r="C131" s="50">
        <f>HLOOKUP(Grafik!$E$5,'Tüm Operasyonlar'!$D$1:$AG$164,132,0)</f>
        <v>5</v>
      </c>
    </row>
    <row r="132" spans="1:3" x14ac:dyDescent="0.25">
      <c r="A132" s="56" t="s">
        <v>236</v>
      </c>
      <c r="B132" s="50">
        <f>HLOOKUP(Grafik!$E$4,'Tüm Operasyonlar'!$D$1:$AG$164,133,0)</f>
        <v>5</v>
      </c>
      <c r="C132" s="50">
        <f>HLOOKUP(Grafik!$E$5,'Tüm Operasyonlar'!$D$1:$AG$164,133,0)</f>
        <v>5</v>
      </c>
    </row>
    <row r="133" spans="1:3" x14ac:dyDescent="0.25">
      <c r="A133" s="56" t="s">
        <v>238</v>
      </c>
      <c r="B133" s="50">
        <f>HLOOKUP(Grafik!$E$4,'Tüm Operasyonlar'!$D$1:$AG$164,134,0)</f>
        <v>5</v>
      </c>
      <c r="C133" s="50">
        <f>HLOOKUP(Grafik!$E$5,'Tüm Operasyonlar'!$D$1:$AG$164,134,0)</f>
        <v>5</v>
      </c>
    </row>
    <row r="134" spans="1:3" x14ac:dyDescent="0.25">
      <c r="A134" s="56" t="s">
        <v>240</v>
      </c>
      <c r="B134" s="50">
        <f>HLOOKUP(Grafik!$E$4,'Tüm Operasyonlar'!$D$1:$AG$164,135,0)</f>
        <v>5</v>
      </c>
      <c r="C134" s="50">
        <f>HLOOKUP(Grafik!$E$5,'Tüm Operasyonlar'!$D$1:$AG$164,135,0)</f>
        <v>5</v>
      </c>
    </row>
    <row r="135" spans="1:3" x14ac:dyDescent="0.25">
      <c r="A135" s="56" t="s">
        <v>80</v>
      </c>
      <c r="B135" s="50">
        <f>HLOOKUP(Grafik!$E$4,'Tüm Operasyonlar'!$D$1:$AG$164,136,0)</f>
        <v>5</v>
      </c>
      <c r="C135" s="50">
        <f>HLOOKUP(Grafik!$E$5,'Tüm Operasyonlar'!$D$1:$AG$164,136,0)</f>
        <v>5</v>
      </c>
    </row>
    <row r="136" spans="1:3" x14ac:dyDescent="0.25">
      <c r="A136" s="56" t="s">
        <v>266</v>
      </c>
      <c r="B136" s="50" t="str">
        <f>HLOOKUP(Grafik!$E$4,'Tüm Operasyonlar'!$D$1:$AG$164,137,0)</f>
        <v>-</v>
      </c>
      <c r="C136" s="50" t="str">
        <f>HLOOKUP(Grafik!$E$5,'Tüm Operasyonlar'!$D$1:$AG$164,137,0)</f>
        <v>-</v>
      </c>
    </row>
    <row r="137" spans="1:3" x14ac:dyDescent="0.25">
      <c r="A137" s="56" t="s">
        <v>267</v>
      </c>
      <c r="B137" s="50" t="str">
        <f>HLOOKUP(Grafik!$E$4,'Tüm Operasyonlar'!$D$1:$AG$164,138,0)</f>
        <v>-</v>
      </c>
      <c r="C137" s="50" t="str">
        <f>HLOOKUP(Grafik!$E$5,'Tüm Operasyonlar'!$D$1:$AG$164,138,0)</f>
        <v>-</v>
      </c>
    </row>
    <row r="138" spans="1:3" x14ac:dyDescent="0.25">
      <c r="A138" s="56" t="s">
        <v>269</v>
      </c>
      <c r="B138" s="50" t="str">
        <f>HLOOKUP(Grafik!$E$4,'Tüm Operasyonlar'!$D$1:$AG$164,139,0)</f>
        <v>-</v>
      </c>
      <c r="C138" s="50" t="str">
        <f>HLOOKUP(Grafik!$E$5,'Tüm Operasyonlar'!$D$1:$AG$164,139,0)</f>
        <v>-</v>
      </c>
    </row>
    <row r="139" spans="1:3" x14ac:dyDescent="0.25">
      <c r="A139" s="56" t="s">
        <v>112</v>
      </c>
      <c r="B139" s="50">
        <f>HLOOKUP(Grafik!$E$4,'Tüm Operasyonlar'!$D$1:$AG$164,140,0)</f>
        <v>5</v>
      </c>
      <c r="C139" s="50">
        <f>HLOOKUP(Grafik!$E$5,'Tüm Operasyonlar'!$D$1:$AG$164,140,0)</f>
        <v>3</v>
      </c>
    </row>
    <row r="140" spans="1:3" x14ac:dyDescent="0.25">
      <c r="A140" s="56" t="s">
        <v>242</v>
      </c>
      <c r="B140" s="50">
        <f>HLOOKUP(Grafik!$E$4,'Tüm Operasyonlar'!$D$1:$AG$164,141,0)</f>
        <v>5</v>
      </c>
      <c r="C140" s="50">
        <f>HLOOKUP(Grafik!$E$5,'Tüm Operasyonlar'!$D$1:$AG$164,141,0)</f>
        <v>2</v>
      </c>
    </row>
    <row r="141" spans="1:3" x14ac:dyDescent="0.25">
      <c r="A141" s="56" t="s">
        <v>244</v>
      </c>
      <c r="B141" s="50">
        <f>HLOOKUP(Grafik!$E$4,'Tüm Operasyonlar'!$D$1:$AG$164,142,0)</f>
        <v>5</v>
      </c>
      <c r="C141" s="50">
        <f>HLOOKUP(Grafik!$E$5,'Tüm Operasyonlar'!$D$1:$AG$164,142,0)</f>
        <v>5</v>
      </c>
    </row>
    <row r="142" spans="1:3" x14ac:dyDescent="0.25">
      <c r="A142" s="56" t="s">
        <v>246</v>
      </c>
      <c r="B142" s="50">
        <f>HLOOKUP(Grafik!$E$4,'Tüm Operasyonlar'!$D$1:$AG$164,143,0)</f>
        <v>5</v>
      </c>
      <c r="C142" s="50">
        <f>HLOOKUP(Grafik!$E$5,'Tüm Operasyonlar'!$D$1:$AG$164,143,0)</f>
        <v>5</v>
      </c>
    </row>
    <row r="143" spans="1:3" x14ac:dyDescent="0.25">
      <c r="A143" s="56" t="s">
        <v>54</v>
      </c>
      <c r="B143" s="50">
        <f>HLOOKUP(Grafik!$E$4,'Tüm Operasyonlar'!$D$1:$AG$164,144,0)</f>
        <v>5</v>
      </c>
      <c r="C143" s="50">
        <f>HLOOKUP(Grafik!$E$5,'Tüm Operasyonlar'!$D$1:$AG$164,144,0)</f>
        <v>2</v>
      </c>
    </row>
    <row r="144" spans="1:3" x14ac:dyDescent="0.25">
      <c r="A144" s="56" t="s">
        <v>248</v>
      </c>
      <c r="B144" s="50">
        <f>HLOOKUP(Grafik!$E$4,'Tüm Operasyonlar'!$D$1:$AG$164,145,0)</f>
        <v>5</v>
      </c>
      <c r="C144" s="50">
        <f>HLOOKUP(Grafik!$E$5,'Tüm Operasyonlar'!$D$1:$AG$164,145,0)</f>
        <v>5</v>
      </c>
    </row>
    <row r="145" spans="1:3" x14ac:dyDescent="0.25">
      <c r="A145" s="56" t="s">
        <v>249</v>
      </c>
      <c r="B145" s="50">
        <f>HLOOKUP(Grafik!$E$4,'Tüm Operasyonlar'!$D$1:$AG$164,146,0)</f>
        <v>5</v>
      </c>
      <c r="C145" s="50">
        <f>HLOOKUP(Grafik!$E$5,'Tüm Operasyonlar'!$D$1:$AG$164,146,0)</f>
        <v>3</v>
      </c>
    </row>
    <row r="146" spans="1:3" x14ac:dyDescent="0.25">
      <c r="A146" s="56" t="s">
        <v>251</v>
      </c>
      <c r="B146" s="50">
        <f>HLOOKUP(Grafik!$E$4,'Tüm Operasyonlar'!$D$1:$AG$164,147,0)</f>
        <v>5</v>
      </c>
      <c r="C146" s="50">
        <f>HLOOKUP(Grafik!$E$5,'Tüm Operasyonlar'!$D$1:$AG$164,147,0)</f>
        <v>3</v>
      </c>
    </row>
    <row r="147" spans="1:3" x14ac:dyDescent="0.25">
      <c r="A147" s="56" t="s">
        <v>253</v>
      </c>
      <c r="B147" s="50">
        <f>HLOOKUP(Grafik!$E$4,'Tüm Operasyonlar'!$D$1:$AG$164,148,0)</f>
        <v>5</v>
      </c>
      <c r="C147" s="50">
        <f>HLOOKUP(Grafik!$E$5,'Tüm Operasyonlar'!$D$1:$AG$164,148,0)</f>
        <v>3</v>
      </c>
    </row>
    <row r="148" spans="1:3" x14ac:dyDescent="0.25">
      <c r="A148" s="56" t="s">
        <v>255</v>
      </c>
      <c r="B148" s="50">
        <f>HLOOKUP(Grafik!$E$4,'Tüm Operasyonlar'!$D$1:$AG$164,149,0)</f>
        <v>5</v>
      </c>
      <c r="C148" s="50">
        <f>HLOOKUP(Grafik!$E$5,'Tüm Operasyonlar'!$D$1:$AG$164,149,0)</f>
        <v>5</v>
      </c>
    </row>
    <row r="149" spans="1:3" x14ac:dyDescent="0.25">
      <c r="A149" s="56" t="s">
        <v>57</v>
      </c>
      <c r="B149" s="50">
        <f>HLOOKUP(Grafik!$E$4,'Tüm Operasyonlar'!$D$1:$AG$164,150,0)</f>
        <v>5</v>
      </c>
      <c r="C149" s="50">
        <f>HLOOKUP(Grafik!$E$5,'Tüm Operasyonlar'!$D$1:$AG$164,150,0)</f>
        <v>5</v>
      </c>
    </row>
    <row r="150" spans="1:3" x14ac:dyDescent="0.25">
      <c r="A150" s="56" t="s">
        <v>257</v>
      </c>
      <c r="B150" s="50">
        <f>HLOOKUP(Grafik!$E$4,'Tüm Operasyonlar'!$D$1:$AG$164,151,0)</f>
        <v>5</v>
      </c>
      <c r="C150" s="50">
        <f>HLOOKUP(Grafik!$E$5,'Tüm Operasyonlar'!$D$1:$AG$164,151,0)</f>
        <v>3</v>
      </c>
    </row>
    <row r="151" spans="1:3" x14ac:dyDescent="0.25">
      <c r="A151" s="56" t="s">
        <v>259</v>
      </c>
      <c r="B151" s="50">
        <f>HLOOKUP(Grafik!$E$4,'Tüm Operasyonlar'!$D$1:$AG$164,152,0)</f>
        <v>5</v>
      </c>
      <c r="C151" s="50">
        <f>HLOOKUP(Grafik!$E$5,'Tüm Operasyonlar'!$D$1:$AG$164,152,0)</f>
        <v>5</v>
      </c>
    </row>
    <row r="152" spans="1:3" x14ac:dyDescent="0.25">
      <c r="A152" s="56" t="s">
        <v>261</v>
      </c>
      <c r="B152" s="50">
        <f>HLOOKUP(Grafik!$E$4,'Tüm Operasyonlar'!$D$1:$AG$164,153,0)</f>
        <v>5</v>
      </c>
      <c r="C152" s="50">
        <f>HLOOKUP(Grafik!$E$5,'Tüm Operasyonlar'!$D$1:$AG$164,153,0)</f>
        <v>5</v>
      </c>
    </row>
    <row r="153" spans="1:3" x14ac:dyDescent="0.25">
      <c r="A153" s="56" t="s">
        <v>263</v>
      </c>
      <c r="B153" s="50">
        <f>HLOOKUP(Grafik!$E$4,'Tüm Operasyonlar'!$D$1:$AG$164,154,0)</f>
        <v>5</v>
      </c>
      <c r="C153" s="50">
        <f>HLOOKUP(Grafik!$E$5,'Tüm Operasyonlar'!$D$1:$AG$164,154,0)</f>
        <v>5</v>
      </c>
    </row>
    <row r="154" spans="1:3" x14ac:dyDescent="0.25">
      <c r="A154" s="56" t="s">
        <v>265</v>
      </c>
      <c r="B154" s="50">
        <f>HLOOKUP(Grafik!$E$4,'Tüm Operasyonlar'!$D$1:$AG$164,155,0)</f>
        <v>5</v>
      </c>
      <c r="C154" s="50">
        <f>HLOOKUP(Grafik!$E$5,'Tüm Operasyonlar'!$D$1:$AG$164,155,0)</f>
        <v>2</v>
      </c>
    </row>
    <row r="155" spans="1:3" x14ac:dyDescent="0.25">
      <c r="A155" s="56" t="s">
        <v>272</v>
      </c>
      <c r="B155" s="50">
        <f>HLOOKUP(Grafik!$E$4,'Tüm Operasyonlar'!$D$1:$AG$164,156,0)</f>
        <v>5</v>
      </c>
      <c r="C155" s="50">
        <f>HLOOKUP(Grafik!$E$5,'Tüm Operasyonlar'!$D$1:$AG$164,156,0)</f>
        <v>1</v>
      </c>
    </row>
    <row r="156" spans="1:3" x14ac:dyDescent="0.25">
      <c r="A156" s="56" t="s">
        <v>270</v>
      </c>
      <c r="B156" s="50">
        <f>HLOOKUP(Grafik!$E$4,'Tüm Operasyonlar'!$D$1:$AG$164,157,0)</f>
        <v>5</v>
      </c>
      <c r="C156" s="50">
        <f>HLOOKUP(Grafik!$E$5,'Tüm Operasyonlar'!$D$1:$AG$164,157,0)</f>
        <v>1</v>
      </c>
    </row>
    <row r="157" spans="1:3" x14ac:dyDescent="0.25">
      <c r="A157" s="56" t="s">
        <v>271</v>
      </c>
      <c r="B157" s="50">
        <f>HLOOKUP(Grafik!$E$4,'Tüm Operasyonlar'!$D$1:$AG$164,158,0)</f>
        <v>5</v>
      </c>
      <c r="C157" s="50">
        <f>HLOOKUP(Grafik!$E$5,'Tüm Operasyonlar'!$D$1:$AG$164,158,0)</f>
        <v>1</v>
      </c>
    </row>
    <row r="158" spans="1:3" x14ac:dyDescent="0.25">
      <c r="A158" s="56" t="s">
        <v>52</v>
      </c>
      <c r="B158" s="50">
        <f>HLOOKUP(Grafik!$E$4,'Tüm Operasyonlar'!$D$1:$AG$164,159,0)</f>
        <v>5</v>
      </c>
      <c r="C158" s="50">
        <f>HLOOKUP(Grafik!$E$5,'Tüm Operasyonlar'!$D$1:$AG$164,159,0)</f>
        <v>5</v>
      </c>
    </row>
    <row r="159" spans="1:3" x14ac:dyDescent="0.25">
      <c r="A159" s="56" t="s">
        <v>275</v>
      </c>
      <c r="B159" s="50">
        <f>HLOOKUP(Grafik!$E$4,'Tüm Operasyonlar'!$D$1:$AG$164,160,0)</f>
        <v>5</v>
      </c>
      <c r="C159" s="50">
        <f>HLOOKUP(Grafik!$E$5,'Tüm Operasyonlar'!$D$1:$AG$164,160,0)</f>
        <v>1</v>
      </c>
    </row>
    <row r="160" spans="1:3" x14ac:dyDescent="0.25">
      <c r="A160" s="56" t="s">
        <v>277</v>
      </c>
      <c r="B160" s="50">
        <f>HLOOKUP(Grafik!$E$4,'Tüm Operasyonlar'!$D$1:$AG$164,161,0)</f>
        <v>5</v>
      </c>
      <c r="C160" s="50">
        <f>HLOOKUP(Grafik!$E$5,'Tüm Operasyonlar'!$D$1:$AG$164,161,0)</f>
        <v>5</v>
      </c>
    </row>
    <row r="161" spans="1:3" x14ac:dyDescent="0.25">
      <c r="A161" s="56" t="s">
        <v>279</v>
      </c>
      <c r="B161" s="50">
        <f>HLOOKUP(Grafik!$E$4,'Tüm Operasyonlar'!$D$1:$AG$164,162,0)</f>
        <v>5</v>
      </c>
      <c r="C161" s="50">
        <f>HLOOKUP(Grafik!$E$5,'Tüm Operasyonlar'!$D$1:$AG$164,162,0)</f>
        <v>3</v>
      </c>
    </row>
    <row r="162" spans="1:3" x14ac:dyDescent="0.25">
      <c r="A162" s="56" t="s">
        <v>281</v>
      </c>
      <c r="B162" s="50">
        <f>HLOOKUP(Grafik!$E$4,'Tüm Operasyonlar'!$D$1:$AG$164,163,0)</f>
        <v>5</v>
      </c>
      <c r="C162" s="50">
        <f>HLOOKUP(Grafik!$E$5,'Tüm Operasyonlar'!$D$1:$AG$164,163,0)</f>
        <v>3</v>
      </c>
    </row>
    <row r="163" spans="1:3" x14ac:dyDescent="0.25">
      <c r="A163" s="56" t="s">
        <v>283</v>
      </c>
      <c r="B163" s="50">
        <f>HLOOKUP(Grafik!$E$4,'Tüm Operasyonlar'!$D$1:$AG$164,164,0)</f>
        <v>5</v>
      </c>
      <c r="C163" s="50">
        <f>HLOOKUP(Grafik!$E$5,'Tüm Operasyonlar'!$D$1:$AG$164,164,0)</f>
        <v>3</v>
      </c>
    </row>
    <row r="164" spans="1:3" x14ac:dyDescent="0.25">
      <c r="A164" s="56" t="s">
        <v>368</v>
      </c>
      <c r="B164" s="50">
        <f>HLOOKUP(Grafik!$E$4,'Tüm Operasyonlar'!$D$1:$AG$165,165,0)</f>
        <v>705</v>
      </c>
      <c r="C164" s="50">
        <f>HLOOKUP(Grafik!$E$5,'Tüm Operasyonlar'!$D$1:$AG$165,165,0)</f>
        <v>547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65"/>
  <sheetViews>
    <sheetView showGridLines="0" zoomScale="40" zoomScaleNormal="40" workbookViewId="0">
      <pane ySplit="1" topLeftCell="A2" activePane="bottomLeft" state="frozen"/>
      <selection pane="bottomLeft" sqref="A1:A2"/>
    </sheetView>
  </sheetViews>
  <sheetFormatPr defaultColWidth="9.140625" defaultRowHeight="24.95" customHeight="1" x14ac:dyDescent="0.25"/>
  <cols>
    <col min="1" max="1" width="6.7109375" style="3" customWidth="1"/>
    <col min="2" max="2" width="16.85546875" style="3" bestFit="1" customWidth="1"/>
    <col min="3" max="3" width="18.7109375" style="4" bestFit="1" customWidth="1"/>
    <col min="4" max="4" width="55.140625" style="5" bestFit="1" customWidth="1"/>
    <col min="5" max="5" width="16.85546875" style="5" bestFit="1" customWidth="1"/>
    <col min="6" max="6" width="12.42578125" style="3" bestFit="1" customWidth="1"/>
    <col min="7" max="7" width="19.28515625" style="3" bestFit="1" customWidth="1"/>
    <col min="8" max="8" width="12.42578125" style="3" bestFit="1" customWidth="1"/>
    <col min="9" max="9" width="19.28515625" style="3" bestFit="1" customWidth="1"/>
    <col min="10" max="10" width="12.42578125" style="3" bestFit="1" customWidth="1"/>
    <col min="11" max="11" width="19.28515625" style="3" bestFit="1" customWidth="1"/>
    <col min="12" max="12" width="12.42578125" style="3" bestFit="1" customWidth="1"/>
    <col min="13" max="13" width="19.28515625" style="3" bestFit="1" customWidth="1"/>
    <col min="14" max="14" width="12.42578125" style="3" bestFit="1" customWidth="1"/>
    <col min="15" max="15" width="19.28515625" style="3" bestFit="1" customWidth="1"/>
    <col min="16" max="16" width="12.42578125" style="3" bestFit="1" customWidth="1"/>
    <col min="17" max="17" width="19.28515625" style="3" bestFit="1" customWidth="1"/>
    <col min="18" max="18" width="12.42578125" style="3" bestFit="1" customWidth="1"/>
    <col min="19" max="19" width="19.28515625" style="3" bestFit="1" customWidth="1"/>
    <col min="20" max="20" width="12.42578125" style="3" bestFit="1" customWidth="1"/>
    <col min="21" max="21" width="19.28515625" style="3" bestFit="1" customWidth="1"/>
    <col min="22" max="22" width="12.42578125" style="3" bestFit="1" customWidth="1"/>
    <col min="23" max="23" width="19.28515625" style="3" bestFit="1" customWidth="1"/>
    <col min="24" max="24" width="12.42578125" style="3" bestFit="1" customWidth="1"/>
    <col min="25" max="25" width="19.28515625" bestFit="1" customWidth="1"/>
    <col min="26" max="26" width="7.140625" style="3" bestFit="1" customWidth="1"/>
    <col min="27" max="27" width="14.140625" style="3" bestFit="1" customWidth="1"/>
    <col min="28" max="28" width="7.140625" style="3" bestFit="1" customWidth="1"/>
    <col min="29" max="29" width="14.140625" style="3" bestFit="1" customWidth="1"/>
    <col min="30" max="30" width="7.140625" style="3" bestFit="1" customWidth="1"/>
    <col min="31" max="31" width="14.140625" style="3" bestFit="1" customWidth="1"/>
    <col min="32" max="32" width="8" style="3" customWidth="1"/>
    <col min="33" max="33" width="13.7109375" style="3" customWidth="1"/>
    <col min="34" max="16384" width="9.140625" style="1"/>
  </cols>
  <sheetData>
    <row r="1" spans="1:33" s="2" customFormat="1" ht="81" customHeight="1" x14ac:dyDescent="0.25">
      <c r="A1" s="96" t="s">
        <v>301</v>
      </c>
      <c r="B1" s="96" t="s">
        <v>299</v>
      </c>
      <c r="C1" s="96" t="s">
        <v>300</v>
      </c>
      <c r="D1" s="96" t="s">
        <v>331</v>
      </c>
      <c r="E1" s="96" t="s">
        <v>306</v>
      </c>
      <c r="F1" s="83" t="s">
        <v>420</v>
      </c>
      <c r="G1" s="83" t="s">
        <v>286</v>
      </c>
      <c r="H1" s="83" t="s">
        <v>422</v>
      </c>
      <c r="I1" s="83" t="s">
        <v>410</v>
      </c>
      <c r="J1" s="83" t="s">
        <v>423</v>
      </c>
      <c r="K1" s="83" t="s">
        <v>288</v>
      </c>
      <c r="L1" s="83" t="s">
        <v>424</v>
      </c>
      <c r="M1" s="83" t="s">
        <v>285</v>
      </c>
      <c r="N1" s="83" t="s">
        <v>425</v>
      </c>
      <c r="O1" s="83" t="s">
        <v>375</v>
      </c>
      <c r="P1" s="83" t="s">
        <v>434</v>
      </c>
      <c r="Q1" s="83" t="s">
        <v>373</v>
      </c>
      <c r="R1" s="84" t="s">
        <v>431</v>
      </c>
      <c r="S1" s="84" t="s">
        <v>24</v>
      </c>
      <c r="T1" s="84" t="s">
        <v>430</v>
      </c>
      <c r="U1" s="84" t="s">
        <v>291</v>
      </c>
      <c r="V1" s="83" t="s">
        <v>426</v>
      </c>
      <c r="W1" s="83" t="s">
        <v>25</v>
      </c>
      <c r="X1" s="83" t="s">
        <v>427</v>
      </c>
      <c r="Y1" s="83" t="s">
        <v>284</v>
      </c>
      <c r="Z1" s="84" t="s">
        <v>428</v>
      </c>
      <c r="AA1" s="84" t="s">
        <v>26</v>
      </c>
      <c r="AB1" s="84" t="s">
        <v>429</v>
      </c>
      <c r="AC1" s="84" t="s">
        <v>290</v>
      </c>
      <c r="AD1" s="84" t="s">
        <v>432</v>
      </c>
      <c r="AE1" s="84" t="s">
        <v>292</v>
      </c>
      <c r="AF1" s="84" t="s">
        <v>433</v>
      </c>
      <c r="AG1" s="84" t="s">
        <v>372</v>
      </c>
    </row>
    <row r="2" spans="1:33" s="2" customFormat="1" ht="18.600000000000001" customHeight="1" x14ac:dyDescent="0.25">
      <c r="A2" s="97"/>
      <c r="B2" s="97"/>
      <c r="C2" s="97"/>
      <c r="D2" s="97"/>
      <c r="E2" s="97"/>
      <c r="F2" s="75" t="s">
        <v>412</v>
      </c>
      <c r="G2" s="75" t="s">
        <v>411</v>
      </c>
      <c r="H2" s="75" t="s">
        <v>412</v>
      </c>
      <c r="I2" s="75" t="s">
        <v>411</v>
      </c>
      <c r="J2" s="75" t="s">
        <v>412</v>
      </c>
      <c r="K2" s="75" t="s">
        <v>411</v>
      </c>
      <c r="L2" s="75" t="s">
        <v>412</v>
      </c>
      <c r="M2" s="75" t="s">
        <v>411</v>
      </c>
      <c r="N2" s="75" t="s">
        <v>412</v>
      </c>
      <c r="O2" s="75" t="s">
        <v>411</v>
      </c>
      <c r="P2" s="75" t="s">
        <v>412</v>
      </c>
      <c r="Q2" s="75" t="s">
        <v>411</v>
      </c>
      <c r="R2" s="75" t="s">
        <v>412</v>
      </c>
      <c r="S2" s="75" t="s">
        <v>411</v>
      </c>
      <c r="T2" s="75" t="s">
        <v>412</v>
      </c>
      <c r="U2" s="75" t="s">
        <v>411</v>
      </c>
      <c r="V2" s="75" t="s">
        <v>412</v>
      </c>
      <c r="W2" s="75" t="s">
        <v>411</v>
      </c>
      <c r="X2" s="75" t="s">
        <v>412</v>
      </c>
      <c r="Y2" s="75" t="s">
        <v>411</v>
      </c>
      <c r="Z2" s="75" t="s">
        <v>412</v>
      </c>
      <c r="AA2" s="75" t="s">
        <v>411</v>
      </c>
      <c r="AB2" s="75" t="s">
        <v>412</v>
      </c>
      <c r="AC2" s="75" t="s">
        <v>411</v>
      </c>
      <c r="AD2" s="75" t="s">
        <v>412</v>
      </c>
      <c r="AE2" s="75" t="s">
        <v>411</v>
      </c>
      <c r="AF2" s="75" t="s">
        <v>412</v>
      </c>
      <c r="AG2" s="75" t="s">
        <v>411</v>
      </c>
    </row>
    <row r="3" spans="1:33" ht="24.95" customHeight="1" x14ac:dyDescent="0.25">
      <c r="A3" s="7">
        <v>1</v>
      </c>
      <c r="B3" s="7" t="s">
        <v>50</v>
      </c>
      <c r="C3" s="7" t="s">
        <v>50</v>
      </c>
      <c r="D3" s="26" t="s">
        <v>332</v>
      </c>
      <c r="E3" s="23">
        <v>4</v>
      </c>
      <c r="F3" s="78">
        <v>5</v>
      </c>
      <c r="G3" s="78">
        <v>4</v>
      </c>
      <c r="H3" s="78">
        <v>5</v>
      </c>
      <c r="I3" s="79">
        <v>2</v>
      </c>
      <c r="J3" s="78">
        <v>5</v>
      </c>
      <c r="K3" s="79">
        <v>5</v>
      </c>
      <c r="L3" s="78">
        <v>5</v>
      </c>
      <c r="M3" s="78">
        <v>5</v>
      </c>
      <c r="N3" s="78" t="s">
        <v>413</v>
      </c>
      <c r="O3" s="78" t="s">
        <v>413</v>
      </c>
      <c r="P3" s="78">
        <v>5</v>
      </c>
      <c r="Q3" s="78">
        <v>4</v>
      </c>
      <c r="R3" s="78">
        <v>5</v>
      </c>
      <c r="S3" s="78">
        <v>5</v>
      </c>
      <c r="T3" s="25" t="s">
        <v>413</v>
      </c>
      <c r="U3" s="25" t="s">
        <v>413</v>
      </c>
      <c r="V3" s="25" t="s">
        <v>413</v>
      </c>
      <c r="W3" s="80" t="s">
        <v>413</v>
      </c>
      <c r="X3" s="25" t="s">
        <v>413</v>
      </c>
      <c r="Y3" s="25" t="s">
        <v>413</v>
      </c>
      <c r="Z3" s="25" t="s">
        <v>413</v>
      </c>
      <c r="AA3" s="25" t="s">
        <v>413</v>
      </c>
      <c r="AB3" s="25" t="s">
        <v>413</v>
      </c>
      <c r="AC3" s="25" t="s">
        <v>413</v>
      </c>
      <c r="AD3" s="25" t="s">
        <v>413</v>
      </c>
      <c r="AE3" s="25" t="s">
        <v>413</v>
      </c>
      <c r="AF3" s="25" t="s">
        <v>413</v>
      </c>
      <c r="AG3" s="25" t="s">
        <v>413</v>
      </c>
    </row>
    <row r="4" spans="1:33" ht="24.95" customHeight="1" x14ac:dyDescent="0.25">
      <c r="A4" s="7">
        <v>2</v>
      </c>
      <c r="B4" s="7" t="s">
        <v>50</v>
      </c>
      <c r="C4" s="7" t="s">
        <v>50</v>
      </c>
      <c r="D4" s="26" t="s">
        <v>333</v>
      </c>
      <c r="E4" s="23">
        <v>4</v>
      </c>
      <c r="F4" s="78">
        <v>5</v>
      </c>
      <c r="G4" s="78">
        <v>4</v>
      </c>
      <c r="H4" s="78">
        <v>5</v>
      </c>
      <c r="I4" s="79">
        <v>2</v>
      </c>
      <c r="J4" s="78">
        <v>5</v>
      </c>
      <c r="K4" s="79">
        <v>5</v>
      </c>
      <c r="L4" s="78">
        <v>5</v>
      </c>
      <c r="M4" s="78">
        <v>5</v>
      </c>
      <c r="N4" s="78" t="s">
        <v>413</v>
      </c>
      <c r="O4" s="78" t="s">
        <v>413</v>
      </c>
      <c r="P4" s="78">
        <v>5</v>
      </c>
      <c r="Q4" s="78">
        <v>4</v>
      </c>
      <c r="R4" s="78">
        <v>5</v>
      </c>
      <c r="S4" s="78">
        <v>5</v>
      </c>
      <c r="T4" s="25" t="s">
        <v>413</v>
      </c>
      <c r="U4" s="25" t="s">
        <v>413</v>
      </c>
      <c r="V4" s="25" t="s">
        <v>413</v>
      </c>
      <c r="W4" s="80" t="s">
        <v>413</v>
      </c>
      <c r="X4" s="25" t="s">
        <v>413</v>
      </c>
      <c r="Y4" s="25" t="s">
        <v>413</v>
      </c>
      <c r="Z4" s="25" t="s">
        <v>413</v>
      </c>
      <c r="AA4" s="25" t="s">
        <v>413</v>
      </c>
      <c r="AB4" s="25" t="s">
        <v>413</v>
      </c>
      <c r="AC4" s="25" t="s">
        <v>413</v>
      </c>
      <c r="AD4" s="25" t="s">
        <v>413</v>
      </c>
      <c r="AE4" s="25" t="s">
        <v>413</v>
      </c>
      <c r="AF4" s="25" t="s">
        <v>413</v>
      </c>
      <c r="AG4" s="25" t="s">
        <v>413</v>
      </c>
    </row>
    <row r="5" spans="1:33" ht="24.95" customHeight="1" x14ac:dyDescent="0.25">
      <c r="A5" s="7">
        <v>3</v>
      </c>
      <c r="B5" s="7" t="s">
        <v>50</v>
      </c>
      <c r="C5" s="7" t="s">
        <v>50</v>
      </c>
      <c r="D5" s="26" t="s">
        <v>334</v>
      </c>
      <c r="E5" s="23">
        <v>5</v>
      </c>
      <c r="F5" s="78">
        <v>5</v>
      </c>
      <c r="G5" s="78">
        <v>4</v>
      </c>
      <c r="H5" s="78">
        <v>5</v>
      </c>
      <c r="I5" s="80">
        <v>1</v>
      </c>
      <c r="J5" s="78">
        <v>5</v>
      </c>
      <c r="K5" s="79">
        <v>5</v>
      </c>
      <c r="L5" s="78">
        <v>5</v>
      </c>
      <c r="M5" s="78">
        <v>3</v>
      </c>
      <c r="N5" s="78" t="s">
        <v>413</v>
      </c>
      <c r="O5" s="78" t="s">
        <v>413</v>
      </c>
      <c r="P5" s="78">
        <v>5</v>
      </c>
      <c r="Q5" s="78">
        <v>3</v>
      </c>
      <c r="R5" s="78">
        <v>5</v>
      </c>
      <c r="S5" s="78">
        <v>3</v>
      </c>
      <c r="T5" s="25" t="s">
        <v>413</v>
      </c>
      <c r="U5" s="25" t="s">
        <v>413</v>
      </c>
      <c r="V5" s="25" t="s">
        <v>413</v>
      </c>
      <c r="W5" s="80" t="s">
        <v>413</v>
      </c>
      <c r="X5" s="25" t="s">
        <v>413</v>
      </c>
      <c r="Y5" s="25" t="s">
        <v>413</v>
      </c>
      <c r="Z5" s="25" t="s">
        <v>413</v>
      </c>
      <c r="AA5" s="25" t="s">
        <v>413</v>
      </c>
      <c r="AB5" s="25" t="s">
        <v>413</v>
      </c>
      <c r="AC5" s="25" t="s">
        <v>413</v>
      </c>
      <c r="AD5" s="25" t="s">
        <v>413</v>
      </c>
      <c r="AE5" s="25" t="s">
        <v>413</v>
      </c>
      <c r="AF5" s="25" t="s">
        <v>413</v>
      </c>
      <c r="AG5" s="25" t="s">
        <v>413</v>
      </c>
    </row>
    <row r="6" spans="1:33" ht="24.95" customHeight="1" x14ac:dyDescent="0.25">
      <c r="A6" s="7">
        <v>4</v>
      </c>
      <c r="B6" s="7" t="s">
        <v>50</v>
      </c>
      <c r="C6" s="7" t="s">
        <v>50</v>
      </c>
      <c r="D6" s="26" t="s">
        <v>335</v>
      </c>
      <c r="E6" s="23">
        <v>5</v>
      </c>
      <c r="F6" s="78">
        <v>5</v>
      </c>
      <c r="G6" s="78">
        <v>4</v>
      </c>
      <c r="H6" s="78">
        <v>5</v>
      </c>
      <c r="I6" s="80">
        <v>1</v>
      </c>
      <c r="J6" s="78">
        <v>5</v>
      </c>
      <c r="K6" s="79">
        <v>5</v>
      </c>
      <c r="L6" s="78">
        <v>5</v>
      </c>
      <c r="M6" s="78">
        <v>5</v>
      </c>
      <c r="N6" s="78" t="s">
        <v>413</v>
      </c>
      <c r="O6" s="78" t="s">
        <v>413</v>
      </c>
      <c r="P6" s="78">
        <v>5</v>
      </c>
      <c r="Q6" s="78">
        <v>3</v>
      </c>
      <c r="R6" s="78">
        <v>5</v>
      </c>
      <c r="S6" s="78">
        <v>5</v>
      </c>
      <c r="T6" s="25" t="s">
        <v>413</v>
      </c>
      <c r="U6" s="25" t="s">
        <v>413</v>
      </c>
      <c r="V6" s="25" t="s">
        <v>413</v>
      </c>
      <c r="W6" s="80" t="s">
        <v>413</v>
      </c>
      <c r="X6" s="25" t="s">
        <v>413</v>
      </c>
      <c r="Y6" s="25" t="s">
        <v>413</v>
      </c>
      <c r="Z6" s="25" t="s">
        <v>413</v>
      </c>
      <c r="AA6" s="25" t="s">
        <v>413</v>
      </c>
      <c r="AB6" s="25" t="s">
        <v>413</v>
      </c>
      <c r="AC6" s="25" t="s">
        <v>413</v>
      </c>
      <c r="AD6" s="25" t="s">
        <v>413</v>
      </c>
      <c r="AE6" s="25" t="s">
        <v>413</v>
      </c>
      <c r="AF6" s="25" t="s">
        <v>413</v>
      </c>
      <c r="AG6" s="25" t="s">
        <v>413</v>
      </c>
    </row>
    <row r="7" spans="1:33" ht="24.95" customHeight="1" x14ac:dyDescent="0.25">
      <c r="A7" s="7">
        <v>5</v>
      </c>
      <c r="B7" s="7" t="s">
        <v>50</v>
      </c>
      <c r="C7" s="7" t="s">
        <v>50</v>
      </c>
      <c r="D7" s="26" t="s">
        <v>336</v>
      </c>
      <c r="E7" s="23">
        <v>5</v>
      </c>
      <c r="F7" s="78">
        <v>5</v>
      </c>
      <c r="G7" s="78">
        <v>3</v>
      </c>
      <c r="H7" s="78">
        <v>5</v>
      </c>
      <c r="I7" s="25">
        <v>1</v>
      </c>
      <c r="J7" s="78">
        <v>5</v>
      </c>
      <c r="K7" s="25">
        <v>3</v>
      </c>
      <c r="L7" s="78">
        <v>5</v>
      </c>
      <c r="M7" s="78">
        <v>5</v>
      </c>
      <c r="N7" s="78">
        <v>5</v>
      </c>
      <c r="O7" s="78">
        <v>5</v>
      </c>
      <c r="P7" s="78">
        <v>5</v>
      </c>
      <c r="Q7" s="78">
        <v>3</v>
      </c>
      <c r="R7" s="78">
        <v>5</v>
      </c>
      <c r="S7" s="79">
        <v>5</v>
      </c>
      <c r="T7" s="25" t="s">
        <v>413</v>
      </c>
      <c r="U7" s="25" t="s">
        <v>413</v>
      </c>
      <c r="V7" s="25" t="s">
        <v>413</v>
      </c>
      <c r="W7" s="25" t="s">
        <v>413</v>
      </c>
      <c r="X7" s="25" t="s">
        <v>413</v>
      </c>
      <c r="Y7" s="25" t="s">
        <v>413</v>
      </c>
      <c r="Z7" s="25" t="s">
        <v>413</v>
      </c>
      <c r="AA7" s="25" t="s">
        <v>413</v>
      </c>
      <c r="AB7" s="25" t="s">
        <v>413</v>
      </c>
      <c r="AC7" s="25" t="s">
        <v>413</v>
      </c>
      <c r="AD7" s="25" t="s">
        <v>413</v>
      </c>
      <c r="AE7" s="25" t="s">
        <v>413</v>
      </c>
      <c r="AF7" s="25" t="s">
        <v>413</v>
      </c>
      <c r="AG7" s="25" t="s">
        <v>413</v>
      </c>
    </row>
    <row r="8" spans="1:33" ht="24.95" customHeight="1" x14ac:dyDescent="0.25">
      <c r="A8" s="7">
        <v>6</v>
      </c>
      <c r="B8" s="7" t="s">
        <v>50</v>
      </c>
      <c r="C8" s="7" t="s">
        <v>50</v>
      </c>
      <c r="D8" s="26" t="s">
        <v>337</v>
      </c>
      <c r="E8" s="23">
        <v>5</v>
      </c>
      <c r="F8" s="78">
        <v>5</v>
      </c>
      <c r="G8" s="78">
        <v>5</v>
      </c>
      <c r="H8" s="78">
        <v>5</v>
      </c>
      <c r="I8" s="79">
        <v>1</v>
      </c>
      <c r="J8" s="78">
        <v>5</v>
      </c>
      <c r="K8" s="79">
        <v>5</v>
      </c>
      <c r="L8" s="78">
        <v>5</v>
      </c>
      <c r="M8" s="78">
        <v>5</v>
      </c>
      <c r="N8" s="78">
        <v>5</v>
      </c>
      <c r="O8" s="78">
        <v>3</v>
      </c>
      <c r="P8" s="78">
        <v>5</v>
      </c>
      <c r="Q8" s="78">
        <v>3</v>
      </c>
      <c r="R8" s="78">
        <v>5</v>
      </c>
      <c r="S8" s="78">
        <v>5</v>
      </c>
      <c r="T8" s="25" t="s">
        <v>413</v>
      </c>
      <c r="U8" s="25" t="s">
        <v>413</v>
      </c>
      <c r="V8" s="25" t="s">
        <v>413</v>
      </c>
      <c r="W8" s="79" t="s">
        <v>413</v>
      </c>
      <c r="X8" s="25" t="s">
        <v>413</v>
      </c>
      <c r="Y8" s="25" t="s">
        <v>413</v>
      </c>
      <c r="Z8" s="25" t="s">
        <v>413</v>
      </c>
      <c r="AA8" s="25" t="s">
        <v>413</v>
      </c>
      <c r="AB8" s="25" t="s">
        <v>413</v>
      </c>
      <c r="AC8" s="25" t="s">
        <v>413</v>
      </c>
      <c r="AD8" s="25" t="s">
        <v>413</v>
      </c>
      <c r="AE8" s="25" t="s">
        <v>413</v>
      </c>
      <c r="AF8" s="25" t="s">
        <v>413</v>
      </c>
      <c r="AG8" s="25" t="s">
        <v>413</v>
      </c>
    </row>
    <row r="9" spans="1:33" ht="24.95" customHeight="1" x14ac:dyDescent="0.25">
      <c r="A9" s="7">
        <v>7</v>
      </c>
      <c r="B9" s="7" t="s">
        <v>50</v>
      </c>
      <c r="C9" s="7" t="s">
        <v>50</v>
      </c>
      <c r="D9" s="26" t="s">
        <v>338</v>
      </c>
      <c r="E9" s="24">
        <v>2</v>
      </c>
      <c r="F9" s="81">
        <v>5</v>
      </c>
      <c r="G9" s="81">
        <v>3</v>
      </c>
      <c r="H9" s="81">
        <v>5</v>
      </c>
      <c r="I9" s="81">
        <v>1</v>
      </c>
      <c r="J9" s="81">
        <v>5</v>
      </c>
      <c r="K9" s="81">
        <v>3</v>
      </c>
      <c r="L9" s="81">
        <v>5</v>
      </c>
      <c r="M9" s="81">
        <v>3</v>
      </c>
      <c r="N9" s="81">
        <v>5</v>
      </c>
      <c r="O9" s="81">
        <v>3</v>
      </c>
      <c r="P9" s="81">
        <v>5</v>
      </c>
      <c r="Q9" s="81">
        <v>3</v>
      </c>
      <c r="R9" s="81">
        <v>5</v>
      </c>
      <c r="S9" s="81">
        <v>3</v>
      </c>
      <c r="T9" s="78" t="s">
        <v>413</v>
      </c>
      <c r="U9" s="81" t="s">
        <v>413</v>
      </c>
      <c r="V9" s="78" t="s">
        <v>413</v>
      </c>
      <c r="W9" s="81" t="s">
        <v>413</v>
      </c>
      <c r="X9" s="78" t="s">
        <v>413</v>
      </c>
      <c r="Y9" s="78" t="s">
        <v>413</v>
      </c>
      <c r="Z9" s="78" t="s">
        <v>413</v>
      </c>
      <c r="AA9" s="78" t="s">
        <v>413</v>
      </c>
      <c r="AB9" s="78">
        <v>5</v>
      </c>
      <c r="AC9" s="78">
        <v>5</v>
      </c>
      <c r="AD9" s="78" t="s">
        <v>413</v>
      </c>
      <c r="AE9" s="78" t="s">
        <v>413</v>
      </c>
      <c r="AF9" s="78" t="s">
        <v>413</v>
      </c>
      <c r="AG9" s="78" t="s">
        <v>413</v>
      </c>
    </row>
    <row r="10" spans="1:33" ht="24.95" customHeight="1" x14ac:dyDescent="0.25">
      <c r="A10" s="7">
        <v>8</v>
      </c>
      <c r="B10" s="7" t="s">
        <v>50</v>
      </c>
      <c r="C10" s="7" t="s">
        <v>50</v>
      </c>
      <c r="D10" s="26" t="s">
        <v>339</v>
      </c>
      <c r="E10" s="25">
        <v>4</v>
      </c>
      <c r="F10" s="78">
        <v>5</v>
      </c>
      <c r="G10" s="78">
        <v>3</v>
      </c>
      <c r="H10" s="78">
        <v>5</v>
      </c>
      <c r="I10" s="25">
        <v>1</v>
      </c>
      <c r="J10" s="78">
        <v>5</v>
      </c>
      <c r="K10" s="81">
        <v>3</v>
      </c>
      <c r="L10" s="78">
        <v>5</v>
      </c>
      <c r="M10" s="78">
        <v>5</v>
      </c>
      <c r="N10" s="78">
        <v>5</v>
      </c>
      <c r="O10" s="79">
        <v>3</v>
      </c>
      <c r="P10" s="78">
        <v>5</v>
      </c>
      <c r="Q10" s="79">
        <v>2</v>
      </c>
      <c r="R10" s="78">
        <v>5</v>
      </c>
      <c r="S10" s="78">
        <v>5</v>
      </c>
      <c r="T10" s="25" t="s">
        <v>413</v>
      </c>
      <c r="U10" s="25" t="s">
        <v>413</v>
      </c>
      <c r="V10" s="25" t="s">
        <v>413</v>
      </c>
      <c r="W10" s="81" t="s">
        <v>413</v>
      </c>
      <c r="X10" s="25" t="s">
        <v>413</v>
      </c>
      <c r="Y10" s="25" t="s">
        <v>413</v>
      </c>
      <c r="Z10" s="25" t="s">
        <v>413</v>
      </c>
      <c r="AA10" s="25" t="s">
        <v>413</v>
      </c>
      <c r="AB10" s="25" t="s">
        <v>413</v>
      </c>
      <c r="AC10" s="25" t="s">
        <v>413</v>
      </c>
      <c r="AD10" s="25" t="s">
        <v>413</v>
      </c>
      <c r="AE10" s="25" t="s">
        <v>413</v>
      </c>
      <c r="AF10" s="25" t="s">
        <v>413</v>
      </c>
      <c r="AG10" s="25" t="s">
        <v>413</v>
      </c>
    </row>
    <row r="11" spans="1:33" ht="24.95" customHeight="1" x14ac:dyDescent="0.25">
      <c r="A11" s="7">
        <v>9</v>
      </c>
      <c r="B11" s="7" t="s">
        <v>50</v>
      </c>
      <c r="C11" s="7" t="s">
        <v>50</v>
      </c>
      <c r="D11" s="26" t="s">
        <v>340</v>
      </c>
      <c r="E11" s="24">
        <v>3</v>
      </c>
      <c r="F11" s="78">
        <v>5</v>
      </c>
      <c r="G11" s="78">
        <v>5</v>
      </c>
      <c r="H11" s="78">
        <v>5</v>
      </c>
      <c r="I11" s="81">
        <v>2</v>
      </c>
      <c r="J11" s="78">
        <v>5</v>
      </c>
      <c r="K11" s="81">
        <v>5</v>
      </c>
      <c r="L11" s="78">
        <v>5</v>
      </c>
      <c r="M11" s="78">
        <v>5</v>
      </c>
      <c r="N11" s="78">
        <v>5</v>
      </c>
      <c r="O11" s="78">
        <v>3</v>
      </c>
      <c r="P11" s="78">
        <v>5</v>
      </c>
      <c r="Q11" s="78">
        <v>5</v>
      </c>
      <c r="R11" s="78">
        <v>5</v>
      </c>
      <c r="S11" s="78">
        <v>5</v>
      </c>
      <c r="T11" s="25" t="s">
        <v>413</v>
      </c>
      <c r="U11" s="81" t="s">
        <v>413</v>
      </c>
      <c r="V11" s="25" t="s">
        <v>413</v>
      </c>
      <c r="W11" s="78" t="s">
        <v>413</v>
      </c>
      <c r="X11" s="25" t="s">
        <v>413</v>
      </c>
      <c r="Y11" s="25" t="s">
        <v>413</v>
      </c>
      <c r="Z11" s="25" t="s">
        <v>413</v>
      </c>
      <c r="AA11" s="25" t="s">
        <v>413</v>
      </c>
      <c r="AB11" s="25" t="s">
        <v>413</v>
      </c>
      <c r="AC11" s="25" t="s">
        <v>413</v>
      </c>
      <c r="AD11" s="25" t="s">
        <v>413</v>
      </c>
      <c r="AE11" s="25" t="s">
        <v>413</v>
      </c>
      <c r="AF11" s="25" t="s">
        <v>413</v>
      </c>
      <c r="AG11" s="25" t="s">
        <v>413</v>
      </c>
    </row>
    <row r="12" spans="1:33" ht="24.95" customHeight="1" x14ac:dyDescent="0.25">
      <c r="A12" s="7">
        <v>10</v>
      </c>
      <c r="B12" s="7" t="s">
        <v>50</v>
      </c>
      <c r="C12" s="27" t="s">
        <v>103</v>
      </c>
      <c r="D12" s="28" t="s">
        <v>104</v>
      </c>
      <c r="E12" s="24">
        <v>2</v>
      </c>
      <c r="F12" s="81" t="s">
        <v>413</v>
      </c>
      <c r="G12" s="81" t="s">
        <v>413</v>
      </c>
      <c r="H12" s="81" t="s">
        <v>413</v>
      </c>
      <c r="I12" s="81" t="s">
        <v>413</v>
      </c>
      <c r="J12" s="81" t="s">
        <v>413</v>
      </c>
      <c r="K12" s="81" t="s">
        <v>413</v>
      </c>
      <c r="L12" s="81" t="s">
        <v>413</v>
      </c>
      <c r="M12" s="81" t="s">
        <v>413</v>
      </c>
      <c r="N12" s="81" t="s">
        <v>413</v>
      </c>
      <c r="O12" s="81" t="s">
        <v>413</v>
      </c>
      <c r="P12" s="81" t="s">
        <v>413</v>
      </c>
      <c r="Q12" s="81" t="s">
        <v>413</v>
      </c>
      <c r="R12" s="79" t="s">
        <v>413</v>
      </c>
      <c r="S12" s="78" t="s">
        <v>413</v>
      </c>
      <c r="T12" s="79">
        <v>5</v>
      </c>
      <c r="U12" s="79">
        <v>5</v>
      </c>
      <c r="V12" s="79">
        <v>5</v>
      </c>
      <c r="W12" s="78">
        <v>5</v>
      </c>
      <c r="X12" s="79">
        <v>5</v>
      </c>
      <c r="Y12" s="79">
        <v>5</v>
      </c>
      <c r="Z12" s="79">
        <v>5</v>
      </c>
      <c r="AA12" s="79">
        <v>5</v>
      </c>
      <c r="AB12" s="79">
        <v>5</v>
      </c>
      <c r="AC12" s="79">
        <v>5</v>
      </c>
      <c r="AD12" s="79">
        <v>5</v>
      </c>
      <c r="AE12" s="79">
        <v>5</v>
      </c>
      <c r="AF12" s="79">
        <v>5</v>
      </c>
      <c r="AG12" s="79">
        <v>5</v>
      </c>
    </row>
    <row r="13" spans="1:33" ht="24.95" customHeight="1" x14ac:dyDescent="0.25">
      <c r="A13" s="7">
        <v>11</v>
      </c>
      <c r="B13" s="7" t="s">
        <v>50</v>
      </c>
      <c r="C13" s="27" t="s">
        <v>1</v>
      </c>
      <c r="D13" s="28" t="s">
        <v>30</v>
      </c>
      <c r="E13" s="25">
        <v>5</v>
      </c>
      <c r="F13" s="81" t="s">
        <v>413</v>
      </c>
      <c r="G13" s="81" t="s">
        <v>413</v>
      </c>
      <c r="H13" s="80" t="s">
        <v>413</v>
      </c>
      <c r="I13" s="80" t="s">
        <v>413</v>
      </c>
      <c r="J13" s="80" t="s">
        <v>413</v>
      </c>
      <c r="K13" s="80" t="s">
        <v>413</v>
      </c>
      <c r="L13" s="80" t="s">
        <v>413</v>
      </c>
      <c r="M13" s="81" t="s">
        <v>413</v>
      </c>
      <c r="N13" s="81" t="s">
        <v>413</v>
      </c>
      <c r="O13" s="81" t="s">
        <v>413</v>
      </c>
      <c r="P13" s="81" t="s">
        <v>413</v>
      </c>
      <c r="Q13" s="81" t="s">
        <v>413</v>
      </c>
      <c r="R13" s="81" t="s">
        <v>413</v>
      </c>
      <c r="S13" s="81" t="s">
        <v>413</v>
      </c>
      <c r="T13" s="79">
        <v>5</v>
      </c>
      <c r="U13" s="81">
        <v>5</v>
      </c>
      <c r="V13" s="79">
        <v>5</v>
      </c>
      <c r="W13" s="78">
        <v>5</v>
      </c>
      <c r="X13" s="79">
        <v>5</v>
      </c>
      <c r="Y13" s="79">
        <v>5</v>
      </c>
      <c r="Z13" s="79">
        <v>5</v>
      </c>
      <c r="AA13" s="80">
        <v>5</v>
      </c>
      <c r="AB13" s="79">
        <v>5</v>
      </c>
      <c r="AC13" s="80">
        <v>2</v>
      </c>
      <c r="AD13" s="79">
        <v>5</v>
      </c>
      <c r="AE13" s="80">
        <v>2</v>
      </c>
      <c r="AF13" s="79">
        <v>5</v>
      </c>
      <c r="AG13" s="80">
        <v>4</v>
      </c>
    </row>
    <row r="14" spans="1:33" ht="24.95" customHeight="1" x14ac:dyDescent="0.25">
      <c r="A14" s="7">
        <v>12</v>
      </c>
      <c r="B14" s="7" t="s">
        <v>50</v>
      </c>
      <c r="C14" s="27" t="s">
        <v>105</v>
      </c>
      <c r="D14" s="28" t="s">
        <v>106</v>
      </c>
      <c r="E14" s="23">
        <v>5</v>
      </c>
      <c r="F14" s="80" t="s">
        <v>413</v>
      </c>
      <c r="G14" s="80" t="s">
        <v>413</v>
      </c>
      <c r="H14" s="80" t="s">
        <v>413</v>
      </c>
      <c r="I14" s="80" t="s">
        <v>413</v>
      </c>
      <c r="J14" s="80" t="s">
        <v>413</v>
      </c>
      <c r="K14" s="80" t="s">
        <v>413</v>
      </c>
      <c r="L14" s="80" t="s">
        <v>413</v>
      </c>
      <c r="M14" s="80" t="s">
        <v>413</v>
      </c>
      <c r="N14" s="80" t="s">
        <v>413</v>
      </c>
      <c r="O14" s="78" t="s">
        <v>413</v>
      </c>
      <c r="P14" s="78" t="s">
        <v>413</v>
      </c>
      <c r="Q14" s="78" t="s">
        <v>413</v>
      </c>
      <c r="R14" s="81" t="s">
        <v>413</v>
      </c>
      <c r="S14" s="79" t="s">
        <v>413</v>
      </c>
      <c r="T14" s="79">
        <v>5</v>
      </c>
      <c r="U14" s="81">
        <v>5</v>
      </c>
      <c r="V14" s="79">
        <v>5</v>
      </c>
      <c r="W14" s="78">
        <v>5</v>
      </c>
      <c r="X14" s="79">
        <v>5</v>
      </c>
      <c r="Y14" s="79">
        <v>5</v>
      </c>
      <c r="Z14" s="79">
        <v>5</v>
      </c>
      <c r="AA14" s="81">
        <v>5</v>
      </c>
      <c r="AB14" s="79">
        <v>5</v>
      </c>
      <c r="AC14" s="80">
        <v>3</v>
      </c>
      <c r="AD14" s="79">
        <v>5</v>
      </c>
      <c r="AE14" s="80">
        <v>2</v>
      </c>
      <c r="AF14" s="79">
        <v>5</v>
      </c>
      <c r="AG14" s="80">
        <v>5</v>
      </c>
    </row>
    <row r="15" spans="1:33" ht="24.95" customHeight="1" x14ac:dyDescent="0.25">
      <c r="A15" s="7">
        <v>13</v>
      </c>
      <c r="B15" s="7" t="s">
        <v>50</v>
      </c>
      <c r="C15" s="27" t="s">
        <v>107</v>
      </c>
      <c r="D15" s="28" t="s">
        <v>108</v>
      </c>
      <c r="E15" s="23">
        <v>5</v>
      </c>
      <c r="F15" s="80" t="s">
        <v>413</v>
      </c>
      <c r="G15" s="80" t="s">
        <v>413</v>
      </c>
      <c r="H15" s="80" t="s">
        <v>413</v>
      </c>
      <c r="I15" s="80" t="s">
        <v>413</v>
      </c>
      <c r="J15" s="80" t="s">
        <v>413</v>
      </c>
      <c r="K15" s="80" t="s">
        <v>413</v>
      </c>
      <c r="L15" s="80" t="s">
        <v>413</v>
      </c>
      <c r="M15" s="80" t="s">
        <v>413</v>
      </c>
      <c r="N15" s="80" t="s">
        <v>413</v>
      </c>
      <c r="O15" s="78" t="s">
        <v>413</v>
      </c>
      <c r="P15" s="78" t="s">
        <v>413</v>
      </c>
      <c r="Q15" s="78" t="s">
        <v>413</v>
      </c>
      <c r="R15" s="81" t="s">
        <v>413</v>
      </c>
      <c r="S15" s="79" t="s">
        <v>413</v>
      </c>
      <c r="T15" s="79">
        <v>5</v>
      </c>
      <c r="U15" s="81">
        <v>5</v>
      </c>
      <c r="V15" s="79">
        <v>5</v>
      </c>
      <c r="W15" s="78">
        <v>5</v>
      </c>
      <c r="X15" s="79">
        <v>5</v>
      </c>
      <c r="Y15" s="79">
        <v>5</v>
      </c>
      <c r="Z15" s="79">
        <v>5</v>
      </c>
      <c r="AA15" s="81">
        <v>5</v>
      </c>
      <c r="AB15" s="79">
        <v>5</v>
      </c>
      <c r="AC15" s="80">
        <v>3</v>
      </c>
      <c r="AD15" s="79">
        <v>5</v>
      </c>
      <c r="AE15" s="80">
        <v>2</v>
      </c>
      <c r="AF15" s="79">
        <v>5</v>
      </c>
      <c r="AG15" s="80">
        <v>5</v>
      </c>
    </row>
    <row r="16" spans="1:33" ht="24.95" customHeight="1" x14ac:dyDescent="0.25">
      <c r="A16" s="7">
        <v>14</v>
      </c>
      <c r="B16" s="7" t="s">
        <v>50</v>
      </c>
      <c r="C16" s="27" t="s">
        <v>2</v>
      </c>
      <c r="D16" s="28" t="s">
        <v>28</v>
      </c>
      <c r="E16" s="24">
        <v>2</v>
      </c>
      <c r="F16" s="81" t="s">
        <v>413</v>
      </c>
      <c r="G16" s="81" t="s">
        <v>413</v>
      </c>
      <c r="H16" s="81" t="s">
        <v>413</v>
      </c>
      <c r="I16" s="81" t="s">
        <v>413</v>
      </c>
      <c r="J16" s="81" t="s">
        <v>413</v>
      </c>
      <c r="K16" s="81" t="s">
        <v>413</v>
      </c>
      <c r="L16" s="81" t="s">
        <v>413</v>
      </c>
      <c r="M16" s="81" t="s">
        <v>413</v>
      </c>
      <c r="N16" s="81" t="s">
        <v>413</v>
      </c>
      <c r="O16" s="81" t="s">
        <v>413</v>
      </c>
      <c r="P16" s="81" t="s">
        <v>413</v>
      </c>
      <c r="Q16" s="81" t="s">
        <v>413</v>
      </c>
      <c r="R16" s="79" t="s">
        <v>413</v>
      </c>
      <c r="S16" s="79" t="s">
        <v>413</v>
      </c>
      <c r="T16" s="79">
        <v>5</v>
      </c>
      <c r="U16" s="79">
        <v>5</v>
      </c>
      <c r="V16" s="79">
        <v>5</v>
      </c>
      <c r="W16" s="78">
        <v>5</v>
      </c>
      <c r="X16" s="79">
        <v>5</v>
      </c>
      <c r="Y16" s="79">
        <v>5</v>
      </c>
      <c r="Z16" s="79">
        <v>5</v>
      </c>
      <c r="AA16" s="79">
        <v>5</v>
      </c>
      <c r="AB16" s="79">
        <v>5</v>
      </c>
      <c r="AC16" s="79">
        <v>5</v>
      </c>
      <c r="AD16" s="79">
        <v>5</v>
      </c>
      <c r="AE16" s="79">
        <v>4</v>
      </c>
      <c r="AF16" s="79">
        <v>5</v>
      </c>
      <c r="AG16" s="79">
        <v>5</v>
      </c>
    </row>
    <row r="17" spans="1:33" ht="24.95" customHeight="1" x14ac:dyDescent="0.25">
      <c r="A17" s="7">
        <v>15</v>
      </c>
      <c r="B17" s="7" t="s">
        <v>50</v>
      </c>
      <c r="C17" s="27" t="s">
        <v>3</v>
      </c>
      <c r="D17" s="28" t="s">
        <v>109</v>
      </c>
      <c r="E17" s="24">
        <v>2</v>
      </c>
      <c r="F17" s="81" t="s">
        <v>413</v>
      </c>
      <c r="G17" s="81" t="s">
        <v>413</v>
      </c>
      <c r="H17" s="81" t="s">
        <v>413</v>
      </c>
      <c r="I17" s="81" t="s">
        <v>413</v>
      </c>
      <c r="J17" s="81" t="s">
        <v>413</v>
      </c>
      <c r="K17" s="81" t="s">
        <v>413</v>
      </c>
      <c r="L17" s="81" t="s">
        <v>413</v>
      </c>
      <c r="M17" s="81" t="s">
        <v>413</v>
      </c>
      <c r="N17" s="81" t="s">
        <v>413</v>
      </c>
      <c r="O17" s="81" t="s">
        <v>413</v>
      </c>
      <c r="P17" s="81" t="s">
        <v>413</v>
      </c>
      <c r="Q17" s="81" t="s">
        <v>413</v>
      </c>
      <c r="R17" s="79" t="s">
        <v>413</v>
      </c>
      <c r="S17" s="79" t="s">
        <v>413</v>
      </c>
      <c r="T17" s="79">
        <v>5</v>
      </c>
      <c r="U17" s="79">
        <v>5</v>
      </c>
      <c r="V17" s="79">
        <v>5</v>
      </c>
      <c r="W17" s="78">
        <v>5</v>
      </c>
      <c r="X17" s="79">
        <v>5</v>
      </c>
      <c r="Y17" s="79">
        <v>5</v>
      </c>
      <c r="Z17" s="79">
        <v>5</v>
      </c>
      <c r="AA17" s="79">
        <v>5</v>
      </c>
      <c r="AB17" s="79">
        <v>5</v>
      </c>
      <c r="AC17" s="79">
        <v>5</v>
      </c>
      <c r="AD17" s="79">
        <v>5</v>
      </c>
      <c r="AE17" s="79">
        <v>4</v>
      </c>
      <c r="AF17" s="79">
        <v>5</v>
      </c>
      <c r="AG17" s="79">
        <v>5</v>
      </c>
    </row>
    <row r="18" spans="1:33" ht="24.95" customHeight="1" x14ac:dyDescent="0.25">
      <c r="A18" s="7">
        <v>16</v>
      </c>
      <c r="B18" s="7" t="s">
        <v>50</v>
      </c>
      <c r="C18" s="27" t="s">
        <v>4</v>
      </c>
      <c r="D18" s="28" t="s">
        <v>31</v>
      </c>
      <c r="E18" s="24">
        <v>2</v>
      </c>
      <c r="F18" s="81" t="s">
        <v>413</v>
      </c>
      <c r="G18" s="81" t="s">
        <v>413</v>
      </c>
      <c r="H18" s="81" t="s">
        <v>413</v>
      </c>
      <c r="I18" s="81" t="s">
        <v>413</v>
      </c>
      <c r="J18" s="81" t="s">
        <v>413</v>
      </c>
      <c r="K18" s="81" t="s">
        <v>413</v>
      </c>
      <c r="L18" s="81" t="s">
        <v>413</v>
      </c>
      <c r="M18" s="81" t="s">
        <v>413</v>
      </c>
      <c r="N18" s="81" t="s">
        <v>413</v>
      </c>
      <c r="O18" s="81" t="s">
        <v>413</v>
      </c>
      <c r="P18" s="81" t="s">
        <v>413</v>
      </c>
      <c r="Q18" s="81" t="s">
        <v>413</v>
      </c>
      <c r="R18" s="79" t="s">
        <v>413</v>
      </c>
      <c r="S18" s="79" t="s">
        <v>413</v>
      </c>
      <c r="T18" s="79">
        <v>5</v>
      </c>
      <c r="U18" s="79">
        <v>5</v>
      </c>
      <c r="V18" s="79">
        <v>5</v>
      </c>
      <c r="W18" s="78">
        <v>5</v>
      </c>
      <c r="X18" s="79">
        <v>5</v>
      </c>
      <c r="Y18" s="79">
        <v>5</v>
      </c>
      <c r="Z18" s="79">
        <v>5</v>
      </c>
      <c r="AA18" s="79">
        <v>5</v>
      </c>
      <c r="AB18" s="79">
        <v>5</v>
      </c>
      <c r="AC18" s="79">
        <v>5</v>
      </c>
      <c r="AD18" s="79">
        <v>5</v>
      </c>
      <c r="AE18" s="79">
        <v>4</v>
      </c>
      <c r="AF18" s="79">
        <v>5</v>
      </c>
      <c r="AG18" s="79">
        <v>5</v>
      </c>
    </row>
    <row r="19" spans="1:33" ht="24.95" customHeight="1" x14ac:dyDescent="0.25">
      <c r="A19" s="7">
        <v>17</v>
      </c>
      <c r="B19" s="7" t="s">
        <v>50</v>
      </c>
      <c r="C19" s="27" t="s">
        <v>5</v>
      </c>
      <c r="D19" s="28" t="s">
        <v>32</v>
      </c>
      <c r="E19" s="31">
        <v>4</v>
      </c>
      <c r="F19" s="81" t="s">
        <v>413</v>
      </c>
      <c r="G19" s="81" t="s">
        <v>413</v>
      </c>
      <c r="H19" s="81" t="s">
        <v>413</v>
      </c>
      <c r="I19" s="81" t="s">
        <v>413</v>
      </c>
      <c r="J19" s="81" t="s">
        <v>413</v>
      </c>
      <c r="K19" s="81" t="s">
        <v>413</v>
      </c>
      <c r="L19" s="81" t="s">
        <v>413</v>
      </c>
      <c r="M19" s="81" t="s">
        <v>413</v>
      </c>
      <c r="N19" s="81" t="s">
        <v>413</v>
      </c>
      <c r="O19" s="81" t="s">
        <v>413</v>
      </c>
      <c r="P19" s="81" t="s">
        <v>413</v>
      </c>
      <c r="Q19" s="81" t="s">
        <v>413</v>
      </c>
      <c r="R19" s="79" t="s">
        <v>413</v>
      </c>
      <c r="S19" s="79" t="s">
        <v>413</v>
      </c>
      <c r="T19" s="79">
        <v>5</v>
      </c>
      <c r="U19" s="79">
        <v>5</v>
      </c>
      <c r="V19" s="79">
        <v>5</v>
      </c>
      <c r="W19" s="78">
        <v>5</v>
      </c>
      <c r="X19" s="79">
        <v>5</v>
      </c>
      <c r="Y19" s="79">
        <v>5</v>
      </c>
      <c r="Z19" s="79">
        <v>5</v>
      </c>
      <c r="AA19" s="79">
        <v>5</v>
      </c>
      <c r="AB19" s="79">
        <v>5</v>
      </c>
      <c r="AC19" s="81">
        <v>2</v>
      </c>
      <c r="AD19" s="79">
        <v>5</v>
      </c>
      <c r="AE19" s="81">
        <v>2</v>
      </c>
      <c r="AF19" s="79">
        <v>5</v>
      </c>
      <c r="AG19" s="81">
        <v>2</v>
      </c>
    </row>
    <row r="20" spans="1:33" ht="24.95" customHeight="1" x14ac:dyDescent="0.25">
      <c r="A20" s="7">
        <v>18</v>
      </c>
      <c r="B20" s="7" t="s">
        <v>50</v>
      </c>
      <c r="C20" s="27" t="s">
        <v>6</v>
      </c>
      <c r="D20" s="28" t="s">
        <v>33</v>
      </c>
      <c r="E20" s="31">
        <v>4</v>
      </c>
      <c r="F20" s="81" t="s">
        <v>413</v>
      </c>
      <c r="G20" s="81" t="s">
        <v>413</v>
      </c>
      <c r="H20" s="81" t="s">
        <v>413</v>
      </c>
      <c r="I20" s="81" t="s">
        <v>413</v>
      </c>
      <c r="J20" s="81" t="s">
        <v>413</v>
      </c>
      <c r="K20" s="81" t="s">
        <v>413</v>
      </c>
      <c r="L20" s="81" t="s">
        <v>413</v>
      </c>
      <c r="M20" s="81" t="s">
        <v>413</v>
      </c>
      <c r="N20" s="81" t="s">
        <v>413</v>
      </c>
      <c r="O20" s="81" t="s">
        <v>413</v>
      </c>
      <c r="P20" s="81" t="s">
        <v>413</v>
      </c>
      <c r="Q20" s="81" t="s">
        <v>413</v>
      </c>
      <c r="R20" s="79" t="s">
        <v>413</v>
      </c>
      <c r="S20" s="79" t="s">
        <v>413</v>
      </c>
      <c r="T20" s="79">
        <v>5</v>
      </c>
      <c r="U20" s="79">
        <v>5</v>
      </c>
      <c r="V20" s="79">
        <v>5</v>
      </c>
      <c r="W20" s="78">
        <v>5</v>
      </c>
      <c r="X20" s="79">
        <v>5</v>
      </c>
      <c r="Y20" s="79">
        <v>5</v>
      </c>
      <c r="Z20" s="79">
        <v>5</v>
      </c>
      <c r="AA20" s="79">
        <v>5</v>
      </c>
      <c r="AB20" s="79">
        <v>5</v>
      </c>
      <c r="AC20" s="81">
        <v>2</v>
      </c>
      <c r="AD20" s="79">
        <v>5</v>
      </c>
      <c r="AE20" s="81">
        <v>2</v>
      </c>
      <c r="AF20" s="79">
        <v>5</v>
      </c>
      <c r="AG20" s="81">
        <v>2</v>
      </c>
    </row>
    <row r="21" spans="1:33" ht="24.95" customHeight="1" x14ac:dyDescent="0.25">
      <c r="A21" s="7">
        <v>19</v>
      </c>
      <c r="B21" s="7" t="s">
        <v>50</v>
      </c>
      <c r="C21" s="27" t="s">
        <v>7</v>
      </c>
      <c r="D21" s="28" t="s">
        <v>34</v>
      </c>
      <c r="E21" s="31">
        <v>4</v>
      </c>
      <c r="F21" s="81" t="s">
        <v>413</v>
      </c>
      <c r="G21" s="81" t="s">
        <v>413</v>
      </c>
      <c r="H21" s="81" t="s">
        <v>413</v>
      </c>
      <c r="I21" s="81" t="s">
        <v>413</v>
      </c>
      <c r="J21" s="81" t="s">
        <v>413</v>
      </c>
      <c r="K21" s="81" t="s">
        <v>413</v>
      </c>
      <c r="L21" s="81" t="s">
        <v>413</v>
      </c>
      <c r="M21" s="81" t="s">
        <v>413</v>
      </c>
      <c r="N21" s="81" t="s">
        <v>413</v>
      </c>
      <c r="O21" s="81" t="s">
        <v>413</v>
      </c>
      <c r="P21" s="81" t="s">
        <v>413</v>
      </c>
      <c r="Q21" s="81" t="s">
        <v>413</v>
      </c>
      <c r="R21" s="79" t="s">
        <v>413</v>
      </c>
      <c r="S21" s="79" t="s">
        <v>413</v>
      </c>
      <c r="T21" s="79">
        <v>5</v>
      </c>
      <c r="U21" s="79">
        <v>5</v>
      </c>
      <c r="V21" s="79">
        <v>5</v>
      </c>
      <c r="W21" s="78">
        <v>5</v>
      </c>
      <c r="X21" s="79">
        <v>5</v>
      </c>
      <c r="Y21" s="79">
        <v>5</v>
      </c>
      <c r="Z21" s="79">
        <v>5</v>
      </c>
      <c r="AA21" s="79">
        <v>5</v>
      </c>
      <c r="AB21" s="79">
        <v>5</v>
      </c>
      <c r="AC21" s="81">
        <v>2</v>
      </c>
      <c r="AD21" s="79">
        <v>5</v>
      </c>
      <c r="AE21" s="81">
        <v>2</v>
      </c>
      <c r="AF21" s="79">
        <v>5</v>
      </c>
      <c r="AG21" s="81">
        <v>2</v>
      </c>
    </row>
    <row r="22" spans="1:33" ht="24.95" customHeight="1" x14ac:dyDescent="0.25">
      <c r="A22" s="7">
        <v>20</v>
      </c>
      <c r="B22" s="7" t="s">
        <v>50</v>
      </c>
      <c r="C22" s="27" t="s">
        <v>8</v>
      </c>
      <c r="D22" s="28" t="s">
        <v>35</v>
      </c>
      <c r="E22" s="31">
        <v>4</v>
      </c>
      <c r="F22" s="81" t="s">
        <v>413</v>
      </c>
      <c r="G22" s="81" t="s">
        <v>413</v>
      </c>
      <c r="H22" s="81" t="s">
        <v>413</v>
      </c>
      <c r="I22" s="81" t="s">
        <v>413</v>
      </c>
      <c r="J22" s="81" t="s">
        <v>413</v>
      </c>
      <c r="K22" s="81" t="s">
        <v>413</v>
      </c>
      <c r="L22" s="81" t="s">
        <v>413</v>
      </c>
      <c r="M22" s="81" t="s">
        <v>413</v>
      </c>
      <c r="N22" s="81" t="s">
        <v>413</v>
      </c>
      <c r="O22" s="81" t="s">
        <v>413</v>
      </c>
      <c r="P22" s="81" t="s">
        <v>413</v>
      </c>
      <c r="Q22" s="81" t="s">
        <v>413</v>
      </c>
      <c r="R22" s="79" t="s">
        <v>413</v>
      </c>
      <c r="S22" s="79" t="s">
        <v>413</v>
      </c>
      <c r="T22" s="79">
        <v>5</v>
      </c>
      <c r="U22" s="79">
        <v>5</v>
      </c>
      <c r="V22" s="79">
        <v>5</v>
      </c>
      <c r="W22" s="78">
        <v>5</v>
      </c>
      <c r="X22" s="79">
        <v>5</v>
      </c>
      <c r="Y22" s="79">
        <v>3</v>
      </c>
      <c r="Z22" s="79">
        <v>5</v>
      </c>
      <c r="AA22" s="79">
        <v>3</v>
      </c>
      <c r="AB22" s="79">
        <v>5</v>
      </c>
      <c r="AC22" s="81">
        <v>2</v>
      </c>
      <c r="AD22" s="79">
        <v>5</v>
      </c>
      <c r="AE22" s="81">
        <v>2</v>
      </c>
      <c r="AF22" s="79">
        <v>5</v>
      </c>
      <c r="AG22" s="81">
        <v>2</v>
      </c>
    </row>
    <row r="23" spans="1:33" ht="24.95" customHeight="1" x14ac:dyDescent="0.25">
      <c r="A23" s="7">
        <v>21</v>
      </c>
      <c r="B23" s="7" t="s">
        <v>50</v>
      </c>
      <c r="C23" s="27" t="s">
        <v>9</v>
      </c>
      <c r="D23" s="28" t="s">
        <v>36</v>
      </c>
      <c r="E23" s="31">
        <v>4</v>
      </c>
      <c r="F23" s="81" t="s">
        <v>413</v>
      </c>
      <c r="G23" s="81" t="s">
        <v>413</v>
      </c>
      <c r="H23" s="81" t="s">
        <v>413</v>
      </c>
      <c r="I23" s="81" t="s">
        <v>413</v>
      </c>
      <c r="J23" s="81" t="s">
        <v>413</v>
      </c>
      <c r="K23" s="81" t="s">
        <v>413</v>
      </c>
      <c r="L23" s="81" t="s">
        <v>413</v>
      </c>
      <c r="M23" s="81" t="s">
        <v>413</v>
      </c>
      <c r="N23" s="81" t="s">
        <v>413</v>
      </c>
      <c r="O23" s="81" t="s">
        <v>413</v>
      </c>
      <c r="P23" s="81" t="s">
        <v>413</v>
      </c>
      <c r="Q23" s="81" t="s">
        <v>413</v>
      </c>
      <c r="R23" s="79" t="s">
        <v>413</v>
      </c>
      <c r="S23" s="79" t="s">
        <v>413</v>
      </c>
      <c r="T23" s="79">
        <v>5</v>
      </c>
      <c r="U23" s="79">
        <v>5</v>
      </c>
      <c r="V23" s="79">
        <v>5</v>
      </c>
      <c r="W23" s="78">
        <v>5</v>
      </c>
      <c r="X23" s="79">
        <v>5</v>
      </c>
      <c r="Y23" s="79">
        <v>3</v>
      </c>
      <c r="Z23" s="79">
        <v>5</v>
      </c>
      <c r="AA23" s="79">
        <v>3</v>
      </c>
      <c r="AB23" s="79">
        <v>5</v>
      </c>
      <c r="AC23" s="81">
        <v>2</v>
      </c>
      <c r="AD23" s="79">
        <v>5</v>
      </c>
      <c r="AE23" s="81">
        <v>2</v>
      </c>
      <c r="AF23" s="79">
        <v>5</v>
      </c>
      <c r="AG23" s="81">
        <v>2</v>
      </c>
    </row>
    <row r="24" spans="1:33" ht="24.95" customHeight="1" x14ac:dyDescent="0.25">
      <c r="A24" s="7">
        <v>22</v>
      </c>
      <c r="B24" s="7" t="s">
        <v>50</v>
      </c>
      <c r="C24" s="27" t="s">
        <v>10</v>
      </c>
      <c r="D24" s="28" t="s">
        <v>37</v>
      </c>
      <c r="E24" s="31">
        <v>4</v>
      </c>
      <c r="F24" s="81" t="s">
        <v>413</v>
      </c>
      <c r="G24" s="81" t="s">
        <v>413</v>
      </c>
      <c r="H24" s="81" t="s">
        <v>413</v>
      </c>
      <c r="I24" s="81" t="s">
        <v>413</v>
      </c>
      <c r="J24" s="81" t="s">
        <v>413</v>
      </c>
      <c r="K24" s="81" t="s">
        <v>413</v>
      </c>
      <c r="L24" s="81" t="s">
        <v>413</v>
      </c>
      <c r="M24" s="81" t="s">
        <v>413</v>
      </c>
      <c r="N24" s="81" t="s">
        <v>413</v>
      </c>
      <c r="O24" s="81" t="s">
        <v>413</v>
      </c>
      <c r="P24" s="81" t="s">
        <v>413</v>
      </c>
      <c r="Q24" s="81" t="s">
        <v>413</v>
      </c>
      <c r="R24" s="79" t="s">
        <v>413</v>
      </c>
      <c r="S24" s="79" t="s">
        <v>413</v>
      </c>
      <c r="T24" s="79">
        <v>5</v>
      </c>
      <c r="U24" s="79">
        <v>5</v>
      </c>
      <c r="V24" s="79">
        <v>5</v>
      </c>
      <c r="W24" s="78">
        <v>5</v>
      </c>
      <c r="X24" s="79">
        <v>5</v>
      </c>
      <c r="Y24" s="79">
        <v>3</v>
      </c>
      <c r="Z24" s="79">
        <v>5</v>
      </c>
      <c r="AA24" s="79">
        <v>3</v>
      </c>
      <c r="AB24" s="79">
        <v>5</v>
      </c>
      <c r="AC24" s="81">
        <v>2</v>
      </c>
      <c r="AD24" s="79">
        <v>5</v>
      </c>
      <c r="AE24" s="81">
        <v>2</v>
      </c>
      <c r="AF24" s="79">
        <v>5</v>
      </c>
      <c r="AG24" s="81">
        <v>2</v>
      </c>
    </row>
    <row r="25" spans="1:33" ht="24.95" customHeight="1" x14ac:dyDescent="0.25">
      <c r="A25" s="7">
        <v>23</v>
      </c>
      <c r="B25" s="7" t="s">
        <v>50</v>
      </c>
      <c r="C25" s="27" t="s">
        <v>11</v>
      </c>
      <c r="D25" s="28" t="s">
        <v>38</v>
      </c>
      <c r="E25" s="31">
        <v>4</v>
      </c>
      <c r="F25" s="81" t="s">
        <v>413</v>
      </c>
      <c r="G25" s="81" t="s">
        <v>413</v>
      </c>
      <c r="H25" s="81" t="s">
        <v>413</v>
      </c>
      <c r="I25" s="81" t="s">
        <v>413</v>
      </c>
      <c r="J25" s="81" t="s">
        <v>413</v>
      </c>
      <c r="K25" s="81" t="s">
        <v>413</v>
      </c>
      <c r="L25" s="81" t="s">
        <v>413</v>
      </c>
      <c r="M25" s="81" t="s">
        <v>413</v>
      </c>
      <c r="N25" s="81" t="s">
        <v>413</v>
      </c>
      <c r="O25" s="81" t="s">
        <v>413</v>
      </c>
      <c r="P25" s="81" t="s">
        <v>413</v>
      </c>
      <c r="Q25" s="81" t="s">
        <v>413</v>
      </c>
      <c r="R25" s="79" t="s">
        <v>413</v>
      </c>
      <c r="S25" s="79" t="s">
        <v>413</v>
      </c>
      <c r="T25" s="79">
        <v>5</v>
      </c>
      <c r="U25" s="79">
        <v>5</v>
      </c>
      <c r="V25" s="79">
        <v>5</v>
      </c>
      <c r="W25" s="78">
        <v>5</v>
      </c>
      <c r="X25" s="79">
        <v>5</v>
      </c>
      <c r="Y25" s="79">
        <v>3</v>
      </c>
      <c r="Z25" s="79">
        <v>5</v>
      </c>
      <c r="AA25" s="79">
        <v>3</v>
      </c>
      <c r="AB25" s="79">
        <v>5</v>
      </c>
      <c r="AC25" s="81">
        <v>2</v>
      </c>
      <c r="AD25" s="79">
        <v>5</v>
      </c>
      <c r="AE25" s="81">
        <v>2</v>
      </c>
      <c r="AF25" s="79">
        <v>5</v>
      </c>
      <c r="AG25" s="81">
        <v>2</v>
      </c>
    </row>
    <row r="26" spans="1:33" ht="24.95" customHeight="1" x14ac:dyDescent="0.25">
      <c r="A26" s="7">
        <v>24</v>
      </c>
      <c r="B26" s="7" t="s">
        <v>50</v>
      </c>
      <c r="C26" s="27" t="s">
        <v>12</v>
      </c>
      <c r="D26" s="28" t="s">
        <v>110</v>
      </c>
      <c r="E26" s="25">
        <v>2</v>
      </c>
      <c r="F26" s="81" t="s">
        <v>413</v>
      </c>
      <c r="G26" s="81" t="s">
        <v>413</v>
      </c>
      <c r="H26" s="81" t="s">
        <v>413</v>
      </c>
      <c r="I26" s="81" t="s">
        <v>413</v>
      </c>
      <c r="J26" s="81" t="s">
        <v>413</v>
      </c>
      <c r="K26" s="81" t="s">
        <v>413</v>
      </c>
      <c r="L26" s="81" t="s">
        <v>413</v>
      </c>
      <c r="M26" s="81" t="s">
        <v>413</v>
      </c>
      <c r="N26" s="81" t="s">
        <v>413</v>
      </c>
      <c r="O26" s="81" t="s">
        <v>413</v>
      </c>
      <c r="P26" s="81" t="s">
        <v>413</v>
      </c>
      <c r="Q26" s="81" t="s">
        <v>413</v>
      </c>
      <c r="R26" s="79" t="s">
        <v>413</v>
      </c>
      <c r="S26" s="79" t="s">
        <v>413</v>
      </c>
      <c r="T26" s="79">
        <v>5</v>
      </c>
      <c r="U26" s="79">
        <v>5</v>
      </c>
      <c r="V26" s="79">
        <v>5</v>
      </c>
      <c r="W26" s="78">
        <v>5</v>
      </c>
      <c r="X26" s="79">
        <v>5</v>
      </c>
      <c r="Y26" s="79">
        <v>5</v>
      </c>
      <c r="Z26" s="79">
        <v>5</v>
      </c>
      <c r="AA26" s="79">
        <v>5</v>
      </c>
      <c r="AB26" s="79">
        <v>5</v>
      </c>
      <c r="AC26" s="79">
        <v>5</v>
      </c>
      <c r="AD26" s="79">
        <v>5</v>
      </c>
      <c r="AE26" s="79">
        <v>4</v>
      </c>
      <c r="AF26" s="79">
        <v>5</v>
      </c>
      <c r="AG26" s="79">
        <v>5</v>
      </c>
    </row>
    <row r="27" spans="1:33" ht="24.95" customHeight="1" x14ac:dyDescent="0.25">
      <c r="A27" s="7">
        <v>25</v>
      </c>
      <c r="B27" s="7" t="s">
        <v>50</v>
      </c>
      <c r="C27" s="27" t="s">
        <v>111</v>
      </c>
      <c r="D27" s="28" t="s">
        <v>112</v>
      </c>
      <c r="E27" s="23">
        <v>5</v>
      </c>
      <c r="F27" s="25" t="s">
        <v>413</v>
      </c>
      <c r="G27" s="25" t="s">
        <v>413</v>
      </c>
      <c r="H27" s="25" t="s">
        <v>413</v>
      </c>
      <c r="I27" s="25" t="s">
        <v>413</v>
      </c>
      <c r="J27" s="25" t="s">
        <v>413</v>
      </c>
      <c r="K27" s="25" t="s">
        <v>413</v>
      </c>
      <c r="L27" s="25" t="s">
        <v>413</v>
      </c>
      <c r="M27" s="25" t="s">
        <v>413</v>
      </c>
      <c r="N27" s="25" t="s">
        <v>413</v>
      </c>
      <c r="O27" s="25" t="s">
        <v>413</v>
      </c>
      <c r="P27" s="25" t="s">
        <v>413</v>
      </c>
      <c r="Q27" s="25" t="s">
        <v>413</v>
      </c>
      <c r="R27" s="25" t="s">
        <v>413</v>
      </c>
      <c r="S27" s="25" t="s">
        <v>413</v>
      </c>
      <c r="T27" s="79">
        <v>5</v>
      </c>
      <c r="U27" s="25">
        <v>1</v>
      </c>
      <c r="V27" s="79">
        <v>5</v>
      </c>
      <c r="W27" s="78">
        <v>5</v>
      </c>
      <c r="X27" s="79">
        <v>5</v>
      </c>
      <c r="Y27" s="79">
        <v>5</v>
      </c>
      <c r="Z27" s="79">
        <v>5</v>
      </c>
      <c r="AA27" s="25">
        <v>1</v>
      </c>
      <c r="AB27" s="79">
        <v>5</v>
      </c>
      <c r="AC27" s="25">
        <v>1</v>
      </c>
      <c r="AD27" s="79">
        <v>5</v>
      </c>
      <c r="AE27" s="25">
        <v>1</v>
      </c>
      <c r="AF27" s="79">
        <v>5</v>
      </c>
      <c r="AG27" s="25">
        <v>3</v>
      </c>
    </row>
    <row r="28" spans="1:33" ht="24.95" customHeight="1" x14ac:dyDescent="0.25">
      <c r="A28" s="7">
        <v>26</v>
      </c>
      <c r="B28" s="7" t="s">
        <v>50</v>
      </c>
      <c r="C28" s="27" t="s">
        <v>113</v>
      </c>
      <c r="D28" s="28" t="s">
        <v>114</v>
      </c>
      <c r="E28" s="23">
        <v>2</v>
      </c>
      <c r="F28" s="25" t="s">
        <v>413</v>
      </c>
      <c r="G28" s="25" t="s">
        <v>413</v>
      </c>
      <c r="H28" s="25" t="s">
        <v>413</v>
      </c>
      <c r="I28" s="25" t="s">
        <v>413</v>
      </c>
      <c r="J28" s="25" t="s">
        <v>413</v>
      </c>
      <c r="K28" s="25" t="s">
        <v>413</v>
      </c>
      <c r="L28" s="25" t="s">
        <v>413</v>
      </c>
      <c r="M28" s="25" t="s">
        <v>413</v>
      </c>
      <c r="N28" s="25" t="s">
        <v>413</v>
      </c>
      <c r="O28" s="25" t="s">
        <v>413</v>
      </c>
      <c r="P28" s="25" t="s">
        <v>413</v>
      </c>
      <c r="Q28" s="25" t="s">
        <v>413</v>
      </c>
      <c r="R28" s="25" t="s">
        <v>413</v>
      </c>
      <c r="S28" s="25" t="s">
        <v>413</v>
      </c>
      <c r="T28" s="79">
        <v>5</v>
      </c>
      <c r="U28" s="25">
        <v>1</v>
      </c>
      <c r="V28" s="79">
        <v>5</v>
      </c>
      <c r="W28" s="78">
        <v>5</v>
      </c>
      <c r="X28" s="79">
        <v>5</v>
      </c>
      <c r="Y28" s="79">
        <v>1</v>
      </c>
      <c r="Z28" s="79">
        <v>5</v>
      </c>
      <c r="AA28" s="79">
        <v>5</v>
      </c>
      <c r="AB28" s="79">
        <v>5</v>
      </c>
      <c r="AC28" s="25">
        <v>1</v>
      </c>
      <c r="AD28" s="79">
        <v>5</v>
      </c>
      <c r="AE28" s="25">
        <v>1</v>
      </c>
      <c r="AF28" s="79">
        <v>5</v>
      </c>
      <c r="AG28" s="25">
        <v>1</v>
      </c>
    </row>
    <row r="29" spans="1:33" ht="24.95" customHeight="1" x14ac:dyDescent="0.25">
      <c r="A29" s="7">
        <v>27</v>
      </c>
      <c r="B29" s="7" t="s">
        <v>50</v>
      </c>
      <c r="C29" s="27" t="s">
        <v>13</v>
      </c>
      <c r="D29" s="28" t="s">
        <v>115</v>
      </c>
      <c r="E29" s="23">
        <v>5</v>
      </c>
      <c r="F29" s="25" t="s">
        <v>413</v>
      </c>
      <c r="G29" s="25" t="s">
        <v>413</v>
      </c>
      <c r="H29" s="25" t="s">
        <v>413</v>
      </c>
      <c r="I29" s="25" t="s">
        <v>413</v>
      </c>
      <c r="J29" s="25" t="s">
        <v>413</v>
      </c>
      <c r="K29" s="25" t="s">
        <v>413</v>
      </c>
      <c r="L29" s="25" t="s">
        <v>413</v>
      </c>
      <c r="M29" s="25" t="s">
        <v>413</v>
      </c>
      <c r="N29" s="25" t="s">
        <v>413</v>
      </c>
      <c r="O29" s="25" t="s">
        <v>413</v>
      </c>
      <c r="P29" s="25" t="s">
        <v>413</v>
      </c>
      <c r="Q29" s="25" t="s">
        <v>413</v>
      </c>
      <c r="R29" s="25" t="s">
        <v>413</v>
      </c>
      <c r="S29" s="78" t="s">
        <v>413</v>
      </c>
      <c r="T29" s="79">
        <v>5</v>
      </c>
      <c r="U29" s="25">
        <v>1</v>
      </c>
      <c r="V29" s="79">
        <v>5</v>
      </c>
      <c r="W29" s="78">
        <v>5</v>
      </c>
      <c r="X29" s="79">
        <v>5</v>
      </c>
      <c r="Y29" s="79">
        <v>1</v>
      </c>
      <c r="Z29" s="79">
        <v>5</v>
      </c>
      <c r="AA29" s="25">
        <v>1</v>
      </c>
      <c r="AB29" s="79">
        <v>5</v>
      </c>
      <c r="AC29" s="25">
        <v>1</v>
      </c>
      <c r="AD29" s="79">
        <v>5</v>
      </c>
      <c r="AE29" s="79">
        <v>4</v>
      </c>
      <c r="AF29" s="79">
        <v>5</v>
      </c>
      <c r="AG29" s="79">
        <v>1</v>
      </c>
    </row>
    <row r="30" spans="1:33" ht="24.95" customHeight="1" x14ac:dyDescent="0.25">
      <c r="A30" s="7">
        <v>28</v>
      </c>
      <c r="B30" s="7" t="s">
        <v>50</v>
      </c>
      <c r="C30" s="27" t="s">
        <v>116</v>
      </c>
      <c r="D30" s="28" t="s">
        <v>117</v>
      </c>
      <c r="E30" s="32">
        <v>2</v>
      </c>
      <c r="F30" s="79" t="s">
        <v>413</v>
      </c>
      <c r="G30" s="79" t="s">
        <v>413</v>
      </c>
      <c r="H30" s="79" t="s">
        <v>413</v>
      </c>
      <c r="I30" s="79" t="s">
        <v>413</v>
      </c>
      <c r="J30" s="79" t="s">
        <v>413</v>
      </c>
      <c r="K30" s="79" t="s">
        <v>413</v>
      </c>
      <c r="L30" s="79" t="s">
        <v>413</v>
      </c>
      <c r="M30" s="79" t="s">
        <v>413</v>
      </c>
      <c r="N30" s="79" t="s">
        <v>413</v>
      </c>
      <c r="O30" s="78" t="s">
        <v>413</v>
      </c>
      <c r="P30" s="78" t="s">
        <v>413</v>
      </c>
      <c r="Q30" s="78" t="s">
        <v>413</v>
      </c>
      <c r="R30" s="79" t="s">
        <v>413</v>
      </c>
      <c r="S30" s="78" t="s">
        <v>413</v>
      </c>
      <c r="T30" s="79">
        <v>5</v>
      </c>
      <c r="U30" s="79">
        <v>5</v>
      </c>
      <c r="V30" s="79">
        <v>5</v>
      </c>
      <c r="W30" s="78">
        <v>5</v>
      </c>
      <c r="X30" s="79">
        <v>5</v>
      </c>
      <c r="Y30" s="79">
        <v>5</v>
      </c>
      <c r="Z30" s="79">
        <v>5</v>
      </c>
      <c r="AA30" s="79">
        <v>5</v>
      </c>
      <c r="AB30" s="79">
        <v>5</v>
      </c>
      <c r="AC30" s="79">
        <v>5</v>
      </c>
      <c r="AD30" s="79">
        <v>5</v>
      </c>
      <c r="AE30" s="79">
        <v>4</v>
      </c>
      <c r="AF30" s="79">
        <v>5</v>
      </c>
      <c r="AG30" s="79">
        <v>5</v>
      </c>
    </row>
    <row r="31" spans="1:33" ht="24.95" customHeight="1" x14ac:dyDescent="0.25">
      <c r="A31" s="7">
        <v>29</v>
      </c>
      <c r="B31" s="7" t="s">
        <v>50</v>
      </c>
      <c r="C31" s="27" t="s">
        <v>118</v>
      </c>
      <c r="D31" s="28" t="s">
        <v>119</v>
      </c>
      <c r="E31" s="31">
        <v>3</v>
      </c>
      <c r="F31" s="81" t="s">
        <v>413</v>
      </c>
      <c r="G31" s="81" t="s">
        <v>413</v>
      </c>
      <c r="H31" s="81" t="s">
        <v>413</v>
      </c>
      <c r="I31" s="81" t="s">
        <v>413</v>
      </c>
      <c r="J31" s="81" t="s">
        <v>413</v>
      </c>
      <c r="K31" s="81" t="s">
        <v>413</v>
      </c>
      <c r="L31" s="81" t="s">
        <v>413</v>
      </c>
      <c r="M31" s="81" t="s">
        <v>413</v>
      </c>
      <c r="N31" s="81" t="s">
        <v>413</v>
      </c>
      <c r="O31" s="81" t="s">
        <v>413</v>
      </c>
      <c r="P31" s="81" t="s">
        <v>413</v>
      </c>
      <c r="Q31" s="81" t="s">
        <v>413</v>
      </c>
      <c r="R31" s="79" t="s">
        <v>413</v>
      </c>
      <c r="S31" s="78" t="s">
        <v>413</v>
      </c>
      <c r="T31" s="79">
        <v>5</v>
      </c>
      <c r="U31" s="79">
        <v>5</v>
      </c>
      <c r="V31" s="79">
        <v>5</v>
      </c>
      <c r="W31" s="78">
        <v>5</v>
      </c>
      <c r="X31" s="79">
        <v>5</v>
      </c>
      <c r="Y31" s="79">
        <v>5</v>
      </c>
      <c r="Z31" s="79">
        <v>5</v>
      </c>
      <c r="AA31" s="79">
        <v>5</v>
      </c>
      <c r="AB31" s="79">
        <v>5</v>
      </c>
      <c r="AC31" s="79">
        <v>5</v>
      </c>
      <c r="AD31" s="79">
        <v>5</v>
      </c>
      <c r="AE31" s="79">
        <v>4</v>
      </c>
      <c r="AF31" s="79">
        <v>5</v>
      </c>
      <c r="AG31" s="79">
        <v>5</v>
      </c>
    </row>
    <row r="32" spans="1:33" ht="24.95" customHeight="1" x14ac:dyDescent="0.25">
      <c r="A32" s="7">
        <v>30</v>
      </c>
      <c r="B32" s="7" t="s">
        <v>50</v>
      </c>
      <c r="C32" s="27" t="s">
        <v>14</v>
      </c>
      <c r="D32" s="28" t="s">
        <v>39</v>
      </c>
      <c r="E32" s="25">
        <v>5</v>
      </c>
      <c r="F32" s="80" t="s">
        <v>413</v>
      </c>
      <c r="G32" s="80" t="s">
        <v>413</v>
      </c>
      <c r="H32" s="80" t="s">
        <v>413</v>
      </c>
      <c r="I32" s="80" t="s">
        <v>413</v>
      </c>
      <c r="J32" s="80" t="s">
        <v>413</v>
      </c>
      <c r="K32" s="80" t="s">
        <v>413</v>
      </c>
      <c r="L32" s="80" t="s">
        <v>413</v>
      </c>
      <c r="M32" s="80" t="s">
        <v>413</v>
      </c>
      <c r="N32" s="80" t="s">
        <v>413</v>
      </c>
      <c r="O32" s="80" t="s">
        <v>413</v>
      </c>
      <c r="P32" s="80" t="s">
        <v>413</v>
      </c>
      <c r="Q32" s="80" t="s">
        <v>413</v>
      </c>
      <c r="R32" s="81" t="s">
        <v>413</v>
      </c>
      <c r="S32" s="81" t="s">
        <v>413</v>
      </c>
      <c r="T32" s="79">
        <v>5</v>
      </c>
      <c r="U32" s="81">
        <v>5</v>
      </c>
      <c r="V32" s="79">
        <v>5</v>
      </c>
      <c r="W32" s="78">
        <v>5</v>
      </c>
      <c r="X32" s="79">
        <v>5</v>
      </c>
      <c r="Y32" s="79">
        <v>5</v>
      </c>
      <c r="Z32" s="79">
        <v>5</v>
      </c>
      <c r="AA32" s="81">
        <v>5</v>
      </c>
      <c r="AB32" s="79">
        <v>5</v>
      </c>
      <c r="AC32" s="79">
        <v>5</v>
      </c>
      <c r="AD32" s="79">
        <v>5</v>
      </c>
      <c r="AE32" s="81">
        <v>3</v>
      </c>
      <c r="AF32" s="79">
        <v>5</v>
      </c>
      <c r="AG32" s="81">
        <v>5</v>
      </c>
    </row>
    <row r="33" spans="1:33" ht="24.95" customHeight="1" x14ac:dyDescent="0.25">
      <c r="A33" s="7">
        <v>31</v>
      </c>
      <c r="B33" s="7" t="s">
        <v>50</v>
      </c>
      <c r="C33" s="27" t="s">
        <v>120</v>
      </c>
      <c r="D33" s="28" t="s">
        <v>121</v>
      </c>
      <c r="E33" s="23">
        <v>5</v>
      </c>
      <c r="F33" s="80" t="s">
        <v>413</v>
      </c>
      <c r="G33" s="80" t="s">
        <v>413</v>
      </c>
      <c r="H33" s="25" t="s">
        <v>413</v>
      </c>
      <c r="I33" s="25" t="s">
        <v>413</v>
      </c>
      <c r="J33" s="25" t="s">
        <v>413</v>
      </c>
      <c r="K33" s="25" t="s">
        <v>413</v>
      </c>
      <c r="L33" s="25" t="s">
        <v>413</v>
      </c>
      <c r="M33" s="80" t="s">
        <v>413</v>
      </c>
      <c r="N33" s="80" t="s">
        <v>413</v>
      </c>
      <c r="O33" s="80" t="s">
        <v>413</v>
      </c>
      <c r="P33" s="80" t="s">
        <v>413</v>
      </c>
      <c r="Q33" s="80" t="s">
        <v>413</v>
      </c>
      <c r="R33" s="79" t="s">
        <v>413</v>
      </c>
      <c r="S33" s="81" t="s">
        <v>413</v>
      </c>
      <c r="T33" s="79">
        <v>5</v>
      </c>
      <c r="U33" s="79">
        <v>5</v>
      </c>
      <c r="V33" s="79">
        <v>5</v>
      </c>
      <c r="W33" s="78">
        <v>5</v>
      </c>
      <c r="X33" s="79">
        <v>5</v>
      </c>
      <c r="Y33" s="79">
        <v>5</v>
      </c>
      <c r="Z33" s="79">
        <v>5</v>
      </c>
      <c r="AA33" s="81">
        <v>5</v>
      </c>
      <c r="AB33" s="79">
        <v>5</v>
      </c>
      <c r="AC33" s="81">
        <v>2</v>
      </c>
      <c r="AD33" s="79">
        <v>5</v>
      </c>
      <c r="AE33" s="81">
        <v>3</v>
      </c>
      <c r="AF33" s="79">
        <v>5</v>
      </c>
      <c r="AG33" s="81">
        <v>5</v>
      </c>
    </row>
    <row r="34" spans="1:33" ht="24.95" customHeight="1" x14ac:dyDescent="0.25">
      <c r="A34" s="7">
        <v>32</v>
      </c>
      <c r="B34" s="7" t="s">
        <v>50</v>
      </c>
      <c r="C34" s="27" t="s">
        <v>122</v>
      </c>
      <c r="D34" s="28" t="s">
        <v>123</v>
      </c>
      <c r="E34" s="25">
        <v>3</v>
      </c>
      <c r="F34" s="80" t="s">
        <v>413</v>
      </c>
      <c r="G34" s="80" t="s">
        <v>413</v>
      </c>
      <c r="H34" s="80" t="s">
        <v>413</v>
      </c>
      <c r="I34" s="80" t="s">
        <v>413</v>
      </c>
      <c r="J34" s="80" t="s">
        <v>413</v>
      </c>
      <c r="K34" s="80" t="s">
        <v>413</v>
      </c>
      <c r="L34" s="80" t="s">
        <v>413</v>
      </c>
      <c r="M34" s="80" t="s">
        <v>413</v>
      </c>
      <c r="N34" s="80" t="s">
        <v>413</v>
      </c>
      <c r="O34" s="80" t="s">
        <v>413</v>
      </c>
      <c r="P34" s="80" t="s">
        <v>413</v>
      </c>
      <c r="Q34" s="80" t="s">
        <v>413</v>
      </c>
      <c r="R34" s="81" t="s">
        <v>413</v>
      </c>
      <c r="S34" s="81" t="s">
        <v>413</v>
      </c>
      <c r="T34" s="79">
        <v>5</v>
      </c>
      <c r="U34" s="81">
        <v>5</v>
      </c>
      <c r="V34" s="79">
        <v>5</v>
      </c>
      <c r="W34" s="78">
        <v>5</v>
      </c>
      <c r="X34" s="79">
        <v>5</v>
      </c>
      <c r="Y34" s="79">
        <v>5</v>
      </c>
      <c r="Z34" s="79">
        <v>5</v>
      </c>
      <c r="AA34" s="79">
        <v>5</v>
      </c>
      <c r="AB34" s="79">
        <v>5</v>
      </c>
      <c r="AC34" s="81">
        <v>5</v>
      </c>
      <c r="AD34" s="79">
        <v>5</v>
      </c>
      <c r="AE34" s="81">
        <v>3</v>
      </c>
      <c r="AF34" s="79">
        <v>5</v>
      </c>
      <c r="AG34" s="81">
        <v>5</v>
      </c>
    </row>
    <row r="35" spans="1:33" ht="24.95" customHeight="1" x14ac:dyDescent="0.25">
      <c r="A35" s="7">
        <v>33</v>
      </c>
      <c r="B35" s="7" t="s">
        <v>50</v>
      </c>
      <c r="C35" s="27" t="s">
        <v>15</v>
      </c>
      <c r="D35" s="28" t="s">
        <v>124</v>
      </c>
      <c r="E35" s="23">
        <v>5</v>
      </c>
      <c r="F35" s="25" t="s">
        <v>413</v>
      </c>
      <c r="G35" s="25" t="s">
        <v>413</v>
      </c>
      <c r="H35" s="25" t="s">
        <v>413</v>
      </c>
      <c r="I35" s="25" t="s">
        <v>413</v>
      </c>
      <c r="J35" s="25" t="s">
        <v>413</v>
      </c>
      <c r="K35" s="25" t="s">
        <v>413</v>
      </c>
      <c r="L35" s="25" t="s">
        <v>413</v>
      </c>
      <c r="M35" s="25" t="s">
        <v>413</v>
      </c>
      <c r="N35" s="25" t="s">
        <v>413</v>
      </c>
      <c r="O35" s="79" t="s">
        <v>413</v>
      </c>
      <c r="P35" s="79" t="s">
        <v>413</v>
      </c>
      <c r="Q35" s="79" t="s">
        <v>413</v>
      </c>
      <c r="R35" s="25" t="s">
        <v>413</v>
      </c>
      <c r="S35" s="25" t="s">
        <v>413</v>
      </c>
      <c r="T35" s="79">
        <v>5</v>
      </c>
      <c r="U35" s="25">
        <v>3</v>
      </c>
      <c r="V35" s="79">
        <v>5</v>
      </c>
      <c r="W35" s="78">
        <v>5</v>
      </c>
      <c r="X35" s="79">
        <v>5</v>
      </c>
      <c r="Y35" s="79">
        <v>3</v>
      </c>
      <c r="Z35" s="79">
        <v>5</v>
      </c>
      <c r="AA35" s="78">
        <v>5</v>
      </c>
      <c r="AB35" s="79">
        <v>5</v>
      </c>
      <c r="AC35" s="25">
        <v>1</v>
      </c>
      <c r="AD35" s="79">
        <v>5</v>
      </c>
      <c r="AE35" s="25">
        <v>1</v>
      </c>
      <c r="AF35" s="79">
        <v>5</v>
      </c>
      <c r="AG35" s="25">
        <v>1</v>
      </c>
    </row>
    <row r="36" spans="1:33" ht="24.95" customHeight="1" x14ac:dyDescent="0.25">
      <c r="A36" s="7">
        <v>34</v>
      </c>
      <c r="B36" s="7" t="s">
        <v>50</v>
      </c>
      <c r="C36" s="27" t="s">
        <v>16</v>
      </c>
      <c r="D36" s="28" t="s">
        <v>40</v>
      </c>
      <c r="E36" s="31">
        <v>3</v>
      </c>
      <c r="F36" s="81" t="s">
        <v>413</v>
      </c>
      <c r="G36" s="81" t="s">
        <v>413</v>
      </c>
      <c r="H36" s="81" t="s">
        <v>413</v>
      </c>
      <c r="I36" s="81" t="s">
        <v>413</v>
      </c>
      <c r="J36" s="81" t="s">
        <v>413</v>
      </c>
      <c r="K36" s="81" t="s">
        <v>413</v>
      </c>
      <c r="L36" s="81" t="s">
        <v>413</v>
      </c>
      <c r="M36" s="81" t="s">
        <v>413</v>
      </c>
      <c r="N36" s="81" t="s">
        <v>413</v>
      </c>
      <c r="O36" s="81" t="s">
        <v>413</v>
      </c>
      <c r="P36" s="81" t="s">
        <v>413</v>
      </c>
      <c r="Q36" s="81" t="s">
        <v>413</v>
      </c>
      <c r="R36" s="79" t="s">
        <v>413</v>
      </c>
      <c r="S36" s="78" t="s">
        <v>413</v>
      </c>
      <c r="T36" s="79">
        <v>5</v>
      </c>
      <c r="U36" s="79">
        <v>5</v>
      </c>
      <c r="V36" s="79">
        <v>5</v>
      </c>
      <c r="W36" s="78">
        <v>5</v>
      </c>
      <c r="X36" s="79">
        <v>5</v>
      </c>
      <c r="Y36" s="79">
        <v>5</v>
      </c>
      <c r="Z36" s="79">
        <v>5</v>
      </c>
      <c r="AA36" s="79">
        <v>5</v>
      </c>
      <c r="AB36" s="79">
        <v>5</v>
      </c>
      <c r="AC36" s="79">
        <v>5</v>
      </c>
      <c r="AD36" s="79">
        <v>5</v>
      </c>
      <c r="AE36" s="79">
        <v>4</v>
      </c>
      <c r="AF36" s="79">
        <v>5</v>
      </c>
      <c r="AG36" s="79">
        <v>5</v>
      </c>
    </row>
    <row r="37" spans="1:33" ht="24.95" customHeight="1" x14ac:dyDescent="0.25">
      <c r="A37" s="7">
        <v>35</v>
      </c>
      <c r="B37" s="7" t="s">
        <v>50</v>
      </c>
      <c r="C37" s="27" t="s">
        <v>17</v>
      </c>
      <c r="D37" s="28" t="s">
        <v>41</v>
      </c>
      <c r="E37" s="31">
        <v>3</v>
      </c>
      <c r="F37" s="81" t="s">
        <v>413</v>
      </c>
      <c r="G37" s="81" t="s">
        <v>413</v>
      </c>
      <c r="H37" s="81" t="s">
        <v>413</v>
      </c>
      <c r="I37" s="81" t="s">
        <v>413</v>
      </c>
      <c r="J37" s="81" t="s">
        <v>413</v>
      </c>
      <c r="K37" s="81" t="s">
        <v>413</v>
      </c>
      <c r="L37" s="81" t="s">
        <v>413</v>
      </c>
      <c r="M37" s="81" t="s">
        <v>413</v>
      </c>
      <c r="N37" s="81" t="s">
        <v>413</v>
      </c>
      <c r="O37" s="81" t="s">
        <v>413</v>
      </c>
      <c r="P37" s="81" t="s">
        <v>413</v>
      </c>
      <c r="Q37" s="81" t="s">
        <v>413</v>
      </c>
      <c r="R37" s="79" t="s">
        <v>413</v>
      </c>
      <c r="S37" s="78" t="s">
        <v>413</v>
      </c>
      <c r="T37" s="79">
        <v>5</v>
      </c>
      <c r="U37" s="79">
        <v>5</v>
      </c>
      <c r="V37" s="79">
        <v>5</v>
      </c>
      <c r="W37" s="78">
        <v>5</v>
      </c>
      <c r="X37" s="79">
        <v>5</v>
      </c>
      <c r="Y37" s="79">
        <v>5</v>
      </c>
      <c r="Z37" s="79">
        <v>5</v>
      </c>
      <c r="AA37" s="79">
        <v>5</v>
      </c>
      <c r="AB37" s="79">
        <v>5</v>
      </c>
      <c r="AC37" s="79">
        <v>5</v>
      </c>
      <c r="AD37" s="79">
        <v>5</v>
      </c>
      <c r="AE37" s="79">
        <v>4</v>
      </c>
      <c r="AF37" s="79">
        <v>5</v>
      </c>
      <c r="AG37" s="79">
        <v>5</v>
      </c>
    </row>
    <row r="38" spans="1:33" ht="24.95" customHeight="1" x14ac:dyDescent="0.25">
      <c r="A38" s="7">
        <v>36</v>
      </c>
      <c r="B38" s="7" t="s">
        <v>50</v>
      </c>
      <c r="C38" s="27" t="s">
        <v>18</v>
      </c>
      <c r="D38" s="28" t="s">
        <v>42</v>
      </c>
      <c r="E38" s="31">
        <v>3</v>
      </c>
      <c r="F38" s="81" t="s">
        <v>413</v>
      </c>
      <c r="G38" s="81" t="s">
        <v>413</v>
      </c>
      <c r="H38" s="81" t="s">
        <v>413</v>
      </c>
      <c r="I38" s="81" t="s">
        <v>413</v>
      </c>
      <c r="J38" s="81" t="s">
        <v>413</v>
      </c>
      <c r="K38" s="81" t="s">
        <v>413</v>
      </c>
      <c r="L38" s="81" t="s">
        <v>413</v>
      </c>
      <c r="M38" s="81" t="s">
        <v>413</v>
      </c>
      <c r="N38" s="81" t="s">
        <v>413</v>
      </c>
      <c r="O38" s="81" t="s">
        <v>413</v>
      </c>
      <c r="P38" s="81" t="s">
        <v>413</v>
      </c>
      <c r="Q38" s="81" t="s">
        <v>413</v>
      </c>
      <c r="R38" s="79" t="s">
        <v>413</v>
      </c>
      <c r="S38" s="78" t="s">
        <v>413</v>
      </c>
      <c r="T38" s="79">
        <v>5</v>
      </c>
      <c r="U38" s="79">
        <v>5</v>
      </c>
      <c r="V38" s="79">
        <v>5</v>
      </c>
      <c r="W38" s="78">
        <v>5</v>
      </c>
      <c r="X38" s="79">
        <v>5</v>
      </c>
      <c r="Y38" s="79">
        <v>5</v>
      </c>
      <c r="Z38" s="79">
        <v>5</v>
      </c>
      <c r="AA38" s="79">
        <v>5</v>
      </c>
      <c r="AB38" s="79">
        <v>5</v>
      </c>
      <c r="AC38" s="79">
        <v>5</v>
      </c>
      <c r="AD38" s="79">
        <v>5</v>
      </c>
      <c r="AE38" s="79">
        <v>4</v>
      </c>
      <c r="AF38" s="79">
        <v>5</v>
      </c>
      <c r="AG38" s="79">
        <v>5</v>
      </c>
    </row>
    <row r="39" spans="1:33" ht="24.95" customHeight="1" x14ac:dyDescent="0.25">
      <c r="A39" s="7">
        <v>37</v>
      </c>
      <c r="B39" s="7" t="s">
        <v>50</v>
      </c>
      <c r="C39" s="27" t="s">
        <v>19</v>
      </c>
      <c r="D39" s="28" t="s">
        <v>43</v>
      </c>
      <c r="E39" s="31">
        <v>3</v>
      </c>
      <c r="F39" s="81" t="s">
        <v>413</v>
      </c>
      <c r="G39" s="81" t="s">
        <v>413</v>
      </c>
      <c r="H39" s="81" t="s">
        <v>413</v>
      </c>
      <c r="I39" s="81" t="s">
        <v>413</v>
      </c>
      <c r="J39" s="81" t="s">
        <v>413</v>
      </c>
      <c r="K39" s="81" t="s">
        <v>413</v>
      </c>
      <c r="L39" s="81" t="s">
        <v>413</v>
      </c>
      <c r="M39" s="81" t="s">
        <v>413</v>
      </c>
      <c r="N39" s="81" t="s">
        <v>413</v>
      </c>
      <c r="O39" s="81" t="s">
        <v>413</v>
      </c>
      <c r="P39" s="81" t="s">
        <v>413</v>
      </c>
      <c r="Q39" s="81" t="s">
        <v>413</v>
      </c>
      <c r="R39" s="79" t="s">
        <v>413</v>
      </c>
      <c r="S39" s="78" t="s">
        <v>413</v>
      </c>
      <c r="T39" s="79">
        <v>5</v>
      </c>
      <c r="U39" s="79">
        <v>5</v>
      </c>
      <c r="V39" s="79">
        <v>5</v>
      </c>
      <c r="W39" s="78">
        <v>5</v>
      </c>
      <c r="X39" s="79">
        <v>5</v>
      </c>
      <c r="Y39" s="79">
        <v>5</v>
      </c>
      <c r="Z39" s="79">
        <v>5</v>
      </c>
      <c r="AA39" s="79">
        <v>5</v>
      </c>
      <c r="AB39" s="79">
        <v>5</v>
      </c>
      <c r="AC39" s="79">
        <v>5</v>
      </c>
      <c r="AD39" s="79">
        <v>5</v>
      </c>
      <c r="AE39" s="79">
        <v>4</v>
      </c>
      <c r="AF39" s="79">
        <v>5</v>
      </c>
      <c r="AG39" s="79">
        <v>5</v>
      </c>
    </row>
    <row r="40" spans="1:33" ht="24.95" customHeight="1" x14ac:dyDescent="0.25">
      <c r="A40" s="7">
        <v>38</v>
      </c>
      <c r="B40" s="7" t="s">
        <v>50</v>
      </c>
      <c r="C40" s="27" t="s">
        <v>20</v>
      </c>
      <c r="D40" s="28" t="s">
        <v>44</v>
      </c>
      <c r="E40" s="31">
        <v>3</v>
      </c>
      <c r="F40" s="81" t="s">
        <v>413</v>
      </c>
      <c r="G40" s="81" t="s">
        <v>413</v>
      </c>
      <c r="H40" s="81" t="s">
        <v>413</v>
      </c>
      <c r="I40" s="81" t="s">
        <v>413</v>
      </c>
      <c r="J40" s="81" t="s">
        <v>413</v>
      </c>
      <c r="K40" s="81" t="s">
        <v>413</v>
      </c>
      <c r="L40" s="81" t="s">
        <v>413</v>
      </c>
      <c r="M40" s="81" t="s">
        <v>413</v>
      </c>
      <c r="N40" s="81" t="s">
        <v>413</v>
      </c>
      <c r="O40" s="81" t="s">
        <v>413</v>
      </c>
      <c r="P40" s="81" t="s">
        <v>413</v>
      </c>
      <c r="Q40" s="81" t="s">
        <v>413</v>
      </c>
      <c r="R40" s="79" t="s">
        <v>413</v>
      </c>
      <c r="S40" s="78" t="s">
        <v>413</v>
      </c>
      <c r="T40" s="79">
        <v>5</v>
      </c>
      <c r="U40" s="79">
        <v>5</v>
      </c>
      <c r="V40" s="79">
        <v>5</v>
      </c>
      <c r="W40" s="78">
        <v>5</v>
      </c>
      <c r="X40" s="79">
        <v>5</v>
      </c>
      <c r="Y40" s="79">
        <v>5</v>
      </c>
      <c r="Z40" s="79">
        <v>5</v>
      </c>
      <c r="AA40" s="79">
        <v>5</v>
      </c>
      <c r="AB40" s="79">
        <v>5</v>
      </c>
      <c r="AC40" s="79">
        <v>5</v>
      </c>
      <c r="AD40" s="79">
        <v>5</v>
      </c>
      <c r="AE40" s="79">
        <v>4</v>
      </c>
      <c r="AF40" s="79">
        <v>5</v>
      </c>
      <c r="AG40" s="79">
        <v>5</v>
      </c>
    </row>
    <row r="41" spans="1:33" ht="24.95" customHeight="1" x14ac:dyDescent="0.25">
      <c r="A41" s="7">
        <v>39</v>
      </c>
      <c r="B41" s="7" t="s">
        <v>50</v>
      </c>
      <c r="C41" s="27" t="s">
        <v>125</v>
      </c>
      <c r="D41" s="28" t="s">
        <v>126</v>
      </c>
      <c r="E41" s="31">
        <v>3</v>
      </c>
      <c r="F41" s="81" t="s">
        <v>413</v>
      </c>
      <c r="G41" s="81" t="s">
        <v>413</v>
      </c>
      <c r="H41" s="81" t="s">
        <v>413</v>
      </c>
      <c r="I41" s="81" t="s">
        <v>413</v>
      </c>
      <c r="J41" s="81" t="s">
        <v>413</v>
      </c>
      <c r="K41" s="81" t="s">
        <v>413</v>
      </c>
      <c r="L41" s="81" t="s">
        <v>413</v>
      </c>
      <c r="M41" s="81" t="s">
        <v>413</v>
      </c>
      <c r="N41" s="81" t="s">
        <v>413</v>
      </c>
      <c r="O41" s="79" t="s">
        <v>413</v>
      </c>
      <c r="P41" s="79" t="s">
        <v>413</v>
      </c>
      <c r="Q41" s="79" t="s">
        <v>413</v>
      </c>
      <c r="R41" s="79" t="s">
        <v>413</v>
      </c>
      <c r="S41" s="79" t="s">
        <v>413</v>
      </c>
      <c r="T41" s="79">
        <v>5</v>
      </c>
      <c r="U41" s="79">
        <v>5</v>
      </c>
      <c r="V41" s="79">
        <v>5</v>
      </c>
      <c r="W41" s="78">
        <v>5</v>
      </c>
      <c r="X41" s="79">
        <v>5</v>
      </c>
      <c r="Y41" s="79">
        <v>5</v>
      </c>
      <c r="Z41" s="79">
        <v>5</v>
      </c>
      <c r="AA41" s="79">
        <v>5</v>
      </c>
      <c r="AB41" s="79">
        <v>5</v>
      </c>
      <c r="AC41" s="81">
        <v>3</v>
      </c>
      <c r="AD41" s="79">
        <v>5</v>
      </c>
      <c r="AE41" s="81">
        <v>3</v>
      </c>
      <c r="AF41" s="79">
        <v>5</v>
      </c>
      <c r="AG41" s="81">
        <v>5</v>
      </c>
    </row>
    <row r="42" spans="1:33" ht="24.95" customHeight="1" x14ac:dyDescent="0.25">
      <c r="A42" s="7">
        <v>40</v>
      </c>
      <c r="B42" s="7" t="s">
        <v>50</v>
      </c>
      <c r="C42" s="27" t="s">
        <v>21</v>
      </c>
      <c r="D42" s="28" t="s">
        <v>45</v>
      </c>
      <c r="E42" s="31">
        <v>3</v>
      </c>
      <c r="F42" s="81" t="s">
        <v>413</v>
      </c>
      <c r="G42" s="81" t="s">
        <v>413</v>
      </c>
      <c r="H42" s="81" t="s">
        <v>413</v>
      </c>
      <c r="I42" s="81" t="s">
        <v>413</v>
      </c>
      <c r="J42" s="81" t="s">
        <v>413</v>
      </c>
      <c r="K42" s="81" t="s">
        <v>413</v>
      </c>
      <c r="L42" s="81" t="s">
        <v>413</v>
      </c>
      <c r="M42" s="81" t="s">
        <v>413</v>
      </c>
      <c r="N42" s="81" t="s">
        <v>413</v>
      </c>
      <c r="O42" s="81" t="s">
        <v>413</v>
      </c>
      <c r="P42" s="81" t="s">
        <v>413</v>
      </c>
      <c r="Q42" s="81" t="s">
        <v>413</v>
      </c>
      <c r="R42" s="79" t="s">
        <v>413</v>
      </c>
      <c r="S42" s="79" t="s">
        <v>413</v>
      </c>
      <c r="T42" s="79">
        <v>5</v>
      </c>
      <c r="U42" s="79">
        <v>5</v>
      </c>
      <c r="V42" s="79">
        <v>5</v>
      </c>
      <c r="W42" s="78">
        <v>5</v>
      </c>
      <c r="X42" s="79">
        <v>5</v>
      </c>
      <c r="Y42" s="79">
        <v>5</v>
      </c>
      <c r="Z42" s="79">
        <v>5</v>
      </c>
      <c r="AA42" s="79">
        <v>5</v>
      </c>
      <c r="AB42" s="79">
        <v>5</v>
      </c>
      <c r="AC42" s="79">
        <v>5</v>
      </c>
      <c r="AD42" s="79">
        <v>5</v>
      </c>
      <c r="AE42" s="79">
        <v>4</v>
      </c>
      <c r="AF42" s="79">
        <v>5</v>
      </c>
      <c r="AG42" s="79">
        <v>5</v>
      </c>
    </row>
    <row r="43" spans="1:33" ht="24.95" customHeight="1" x14ac:dyDescent="0.25">
      <c r="A43" s="7">
        <v>41</v>
      </c>
      <c r="B43" s="7" t="s">
        <v>50</v>
      </c>
      <c r="C43" s="27" t="s">
        <v>127</v>
      </c>
      <c r="D43" s="28" t="s">
        <v>128</v>
      </c>
      <c r="E43" s="25">
        <v>3</v>
      </c>
      <c r="F43" s="80" t="s">
        <v>413</v>
      </c>
      <c r="G43" s="80" t="s">
        <v>413</v>
      </c>
      <c r="H43" s="80" t="s">
        <v>413</v>
      </c>
      <c r="I43" s="80" t="s">
        <v>413</v>
      </c>
      <c r="J43" s="80" t="s">
        <v>413</v>
      </c>
      <c r="K43" s="80" t="s">
        <v>413</v>
      </c>
      <c r="L43" s="80" t="s">
        <v>413</v>
      </c>
      <c r="M43" s="80" t="s">
        <v>413</v>
      </c>
      <c r="N43" s="80" t="s">
        <v>413</v>
      </c>
      <c r="O43" s="80" t="s">
        <v>413</v>
      </c>
      <c r="P43" s="80" t="s">
        <v>413</v>
      </c>
      <c r="Q43" s="80" t="s">
        <v>413</v>
      </c>
      <c r="R43" s="81" t="s">
        <v>413</v>
      </c>
      <c r="S43" s="81" t="s">
        <v>413</v>
      </c>
      <c r="T43" s="79">
        <v>5</v>
      </c>
      <c r="U43" s="81">
        <v>5</v>
      </c>
      <c r="V43" s="79">
        <v>5</v>
      </c>
      <c r="W43" s="78">
        <v>5</v>
      </c>
      <c r="X43" s="79">
        <v>5</v>
      </c>
      <c r="Y43" s="79">
        <v>5</v>
      </c>
      <c r="Z43" s="79">
        <v>5</v>
      </c>
      <c r="AA43" s="81">
        <v>5</v>
      </c>
      <c r="AB43" s="79">
        <v>5</v>
      </c>
      <c r="AC43" s="81">
        <v>5</v>
      </c>
      <c r="AD43" s="79">
        <v>5</v>
      </c>
      <c r="AE43" s="81">
        <v>3</v>
      </c>
      <c r="AF43" s="79">
        <v>5</v>
      </c>
      <c r="AG43" s="81">
        <v>3</v>
      </c>
    </row>
    <row r="44" spans="1:33" ht="24.95" customHeight="1" x14ac:dyDescent="0.25">
      <c r="A44" s="7">
        <v>42</v>
      </c>
      <c r="B44" s="7" t="s">
        <v>50</v>
      </c>
      <c r="C44" s="27" t="s">
        <v>129</v>
      </c>
      <c r="D44" s="28" t="s">
        <v>130</v>
      </c>
      <c r="E44" s="31">
        <v>2</v>
      </c>
      <c r="F44" s="81" t="s">
        <v>413</v>
      </c>
      <c r="G44" s="81" t="s">
        <v>413</v>
      </c>
      <c r="H44" s="81" t="s">
        <v>413</v>
      </c>
      <c r="I44" s="81" t="s">
        <v>413</v>
      </c>
      <c r="J44" s="81" t="s">
        <v>413</v>
      </c>
      <c r="K44" s="81" t="s">
        <v>413</v>
      </c>
      <c r="L44" s="81" t="s">
        <v>413</v>
      </c>
      <c r="M44" s="81" t="s">
        <v>413</v>
      </c>
      <c r="N44" s="81" t="s">
        <v>413</v>
      </c>
      <c r="O44" s="81" t="s">
        <v>413</v>
      </c>
      <c r="P44" s="81" t="s">
        <v>413</v>
      </c>
      <c r="Q44" s="81" t="s">
        <v>413</v>
      </c>
      <c r="R44" s="79" t="s">
        <v>413</v>
      </c>
      <c r="S44" s="78" t="s">
        <v>413</v>
      </c>
      <c r="T44" s="79">
        <v>5</v>
      </c>
      <c r="U44" s="79">
        <v>5</v>
      </c>
      <c r="V44" s="79">
        <v>5</v>
      </c>
      <c r="W44" s="78">
        <v>5</v>
      </c>
      <c r="X44" s="79">
        <v>5</v>
      </c>
      <c r="Y44" s="79">
        <v>5</v>
      </c>
      <c r="Z44" s="79">
        <v>5</v>
      </c>
      <c r="AA44" s="79">
        <v>5</v>
      </c>
      <c r="AB44" s="79">
        <v>5</v>
      </c>
      <c r="AC44" s="79">
        <v>5</v>
      </c>
      <c r="AD44" s="79">
        <v>5</v>
      </c>
      <c r="AE44" s="79">
        <v>4</v>
      </c>
      <c r="AF44" s="79">
        <v>5</v>
      </c>
      <c r="AG44" s="79">
        <v>5</v>
      </c>
    </row>
    <row r="45" spans="1:33" ht="24.95" customHeight="1" x14ac:dyDescent="0.25">
      <c r="A45" s="7">
        <v>43</v>
      </c>
      <c r="B45" s="7" t="s">
        <v>50</v>
      </c>
      <c r="C45" s="27" t="s">
        <v>131</v>
      </c>
      <c r="D45" s="28" t="s">
        <v>132</v>
      </c>
      <c r="E45" s="31">
        <v>4</v>
      </c>
      <c r="F45" s="81" t="s">
        <v>413</v>
      </c>
      <c r="G45" s="81" t="s">
        <v>413</v>
      </c>
      <c r="H45" s="81" t="s">
        <v>413</v>
      </c>
      <c r="I45" s="81" t="s">
        <v>413</v>
      </c>
      <c r="J45" s="81" t="s">
        <v>413</v>
      </c>
      <c r="K45" s="81" t="s">
        <v>413</v>
      </c>
      <c r="L45" s="81" t="s">
        <v>413</v>
      </c>
      <c r="M45" s="81" t="s">
        <v>413</v>
      </c>
      <c r="N45" s="81" t="s">
        <v>413</v>
      </c>
      <c r="O45" s="81" t="s">
        <v>413</v>
      </c>
      <c r="P45" s="81" t="s">
        <v>413</v>
      </c>
      <c r="Q45" s="81" t="s">
        <v>413</v>
      </c>
      <c r="R45" s="79" t="s">
        <v>413</v>
      </c>
      <c r="S45" s="79" t="s">
        <v>413</v>
      </c>
      <c r="T45" s="79">
        <v>5</v>
      </c>
      <c r="U45" s="79">
        <v>5</v>
      </c>
      <c r="V45" s="79">
        <v>5</v>
      </c>
      <c r="W45" s="78">
        <v>5</v>
      </c>
      <c r="X45" s="79">
        <v>5</v>
      </c>
      <c r="Y45" s="79">
        <v>3</v>
      </c>
      <c r="Z45" s="79">
        <v>5</v>
      </c>
      <c r="AA45" s="81">
        <v>5</v>
      </c>
      <c r="AB45" s="79">
        <v>5</v>
      </c>
      <c r="AC45" s="81">
        <v>2</v>
      </c>
      <c r="AD45" s="79">
        <v>5</v>
      </c>
      <c r="AE45" s="81">
        <v>3</v>
      </c>
      <c r="AF45" s="79">
        <v>5</v>
      </c>
      <c r="AG45" s="81">
        <v>3</v>
      </c>
    </row>
    <row r="46" spans="1:33" ht="24.95" customHeight="1" x14ac:dyDescent="0.25">
      <c r="A46" s="7">
        <v>44</v>
      </c>
      <c r="B46" s="7" t="s">
        <v>50</v>
      </c>
      <c r="C46" s="27" t="s">
        <v>133</v>
      </c>
      <c r="D46" s="28" t="s">
        <v>134</v>
      </c>
      <c r="E46" s="31">
        <v>4</v>
      </c>
      <c r="F46" s="81" t="s">
        <v>413</v>
      </c>
      <c r="G46" s="81" t="s">
        <v>413</v>
      </c>
      <c r="H46" s="81" t="s">
        <v>413</v>
      </c>
      <c r="I46" s="81" t="s">
        <v>413</v>
      </c>
      <c r="J46" s="81" t="s">
        <v>413</v>
      </c>
      <c r="K46" s="81" t="s">
        <v>413</v>
      </c>
      <c r="L46" s="81" t="s">
        <v>413</v>
      </c>
      <c r="M46" s="81" t="s">
        <v>413</v>
      </c>
      <c r="N46" s="81" t="s">
        <v>413</v>
      </c>
      <c r="O46" s="81" t="s">
        <v>413</v>
      </c>
      <c r="P46" s="81" t="s">
        <v>413</v>
      </c>
      <c r="Q46" s="81" t="s">
        <v>413</v>
      </c>
      <c r="R46" s="79" t="s">
        <v>413</v>
      </c>
      <c r="S46" s="79" t="s">
        <v>413</v>
      </c>
      <c r="T46" s="79">
        <v>5</v>
      </c>
      <c r="U46" s="79">
        <v>5</v>
      </c>
      <c r="V46" s="79">
        <v>5</v>
      </c>
      <c r="W46" s="78">
        <v>5</v>
      </c>
      <c r="X46" s="79">
        <v>5</v>
      </c>
      <c r="Y46" s="79">
        <v>3</v>
      </c>
      <c r="Z46" s="79">
        <v>5</v>
      </c>
      <c r="AA46" s="81">
        <v>5</v>
      </c>
      <c r="AB46" s="79">
        <v>5</v>
      </c>
      <c r="AC46" s="81">
        <v>2</v>
      </c>
      <c r="AD46" s="79">
        <v>5</v>
      </c>
      <c r="AE46" s="81">
        <v>3</v>
      </c>
      <c r="AF46" s="79">
        <v>5</v>
      </c>
      <c r="AG46" s="81">
        <v>3</v>
      </c>
    </row>
    <row r="47" spans="1:33" ht="24.95" customHeight="1" x14ac:dyDescent="0.25">
      <c r="A47" s="7">
        <v>45</v>
      </c>
      <c r="B47" s="7" t="s">
        <v>50</v>
      </c>
      <c r="C47" s="27" t="s">
        <v>135</v>
      </c>
      <c r="D47" s="28" t="s">
        <v>136</v>
      </c>
      <c r="E47" s="31">
        <v>4</v>
      </c>
      <c r="F47" s="81" t="s">
        <v>413</v>
      </c>
      <c r="G47" s="81" t="s">
        <v>413</v>
      </c>
      <c r="H47" s="81" t="s">
        <v>413</v>
      </c>
      <c r="I47" s="81" t="s">
        <v>413</v>
      </c>
      <c r="J47" s="81" t="s">
        <v>413</v>
      </c>
      <c r="K47" s="81" t="s">
        <v>413</v>
      </c>
      <c r="L47" s="81" t="s">
        <v>413</v>
      </c>
      <c r="M47" s="81" t="s">
        <v>413</v>
      </c>
      <c r="N47" s="81" t="s">
        <v>413</v>
      </c>
      <c r="O47" s="81" t="s">
        <v>413</v>
      </c>
      <c r="P47" s="81" t="s">
        <v>413</v>
      </c>
      <c r="Q47" s="81" t="s">
        <v>413</v>
      </c>
      <c r="R47" s="79" t="s">
        <v>413</v>
      </c>
      <c r="S47" s="79" t="s">
        <v>413</v>
      </c>
      <c r="T47" s="79">
        <v>5</v>
      </c>
      <c r="U47" s="79">
        <v>5</v>
      </c>
      <c r="V47" s="79">
        <v>5</v>
      </c>
      <c r="W47" s="78">
        <v>5</v>
      </c>
      <c r="X47" s="79">
        <v>5</v>
      </c>
      <c r="Y47" s="79">
        <v>3</v>
      </c>
      <c r="Z47" s="79">
        <v>5</v>
      </c>
      <c r="AA47" s="81">
        <v>5</v>
      </c>
      <c r="AB47" s="79">
        <v>5</v>
      </c>
      <c r="AC47" s="81">
        <v>2</v>
      </c>
      <c r="AD47" s="79">
        <v>5</v>
      </c>
      <c r="AE47" s="81">
        <v>3</v>
      </c>
      <c r="AF47" s="79">
        <v>5</v>
      </c>
      <c r="AG47" s="81">
        <v>3</v>
      </c>
    </row>
    <row r="48" spans="1:33" ht="24.95" customHeight="1" x14ac:dyDescent="0.25">
      <c r="A48" s="7">
        <v>46</v>
      </c>
      <c r="B48" s="7" t="s">
        <v>50</v>
      </c>
      <c r="C48" s="27" t="s">
        <v>137</v>
      </c>
      <c r="D48" s="28" t="s">
        <v>138</v>
      </c>
      <c r="E48" s="23">
        <v>3</v>
      </c>
      <c r="F48" s="80" t="s">
        <v>413</v>
      </c>
      <c r="G48" s="80" t="s">
        <v>413</v>
      </c>
      <c r="H48" s="25" t="s">
        <v>413</v>
      </c>
      <c r="I48" s="25" t="s">
        <v>413</v>
      </c>
      <c r="J48" s="25" t="s">
        <v>413</v>
      </c>
      <c r="K48" s="25" t="s">
        <v>413</v>
      </c>
      <c r="L48" s="25" t="s">
        <v>413</v>
      </c>
      <c r="M48" s="80" t="s">
        <v>413</v>
      </c>
      <c r="N48" s="80" t="s">
        <v>413</v>
      </c>
      <c r="O48" s="80" t="s">
        <v>413</v>
      </c>
      <c r="P48" s="80" t="s">
        <v>413</v>
      </c>
      <c r="Q48" s="80" t="s">
        <v>413</v>
      </c>
      <c r="R48" s="79" t="s">
        <v>413</v>
      </c>
      <c r="S48" s="81" t="s">
        <v>413</v>
      </c>
      <c r="T48" s="79">
        <v>5</v>
      </c>
      <c r="U48" s="79">
        <v>5</v>
      </c>
      <c r="V48" s="79">
        <v>5</v>
      </c>
      <c r="W48" s="78">
        <v>5</v>
      </c>
      <c r="X48" s="79">
        <v>5</v>
      </c>
      <c r="Y48" s="79">
        <v>5</v>
      </c>
      <c r="Z48" s="79">
        <v>5</v>
      </c>
      <c r="AA48" s="81">
        <v>5</v>
      </c>
      <c r="AB48" s="79">
        <v>5</v>
      </c>
      <c r="AC48" s="81">
        <v>5</v>
      </c>
      <c r="AD48" s="79">
        <v>5</v>
      </c>
      <c r="AE48" s="81">
        <v>3</v>
      </c>
      <c r="AF48" s="79">
        <v>5</v>
      </c>
      <c r="AG48" s="81">
        <v>5</v>
      </c>
    </row>
    <row r="49" spans="1:33" ht="24.95" customHeight="1" x14ac:dyDescent="0.25">
      <c r="A49" s="7">
        <v>47</v>
      </c>
      <c r="B49" s="7" t="s">
        <v>50</v>
      </c>
      <c r="C49" s="27" t="s">
        <v>139</v>
      </c>
      <c r="D49" s="28" t="s">
        <v>140</v>
      </c>
      <c r="E49" s="24">
        <v>3</v>
      </c>
      <c r="F49" s="78" t="s">
        <v>413</v>
      </c>
      <c r="G49" s="78" t="s">
        <v>413</v>
      </c>
      <c r="H49" s="78" t="s">
        <v>413</v>
      </c>
      <c r="I49" s="81" t="s">
        <v>413</v>
      </c>
      <c r="J49" s="81" t="s">
        <v>413</v>
      </c>
      <c r="K49" s="81" t="s">
        <v>413</v>
      </c>
      <c r="L49" s="81" t="s">
        <v>413</v>
      </c>
      <c r="M49" s="78" t="s">
        <v>413</v>
      </c>
      <c r="N49" s="78" t="s">
        <v>413</v>
      </c>
      <c r="O49" s="78" t="s">
        <v>413</v>
      </c>
      <c r="P49" s="78" t="s">
        <v>413</v>
      </c>
      <c r="Q49" s="78" t="s">
        <v>413</v>
      </c>
      <c r="R49" s="81" t="s">
        <v>413</v>
      </c>
      <c r="S49" s="78" t="s">
        <v>413</v>
      </c>
      <c r="T49" s="79">
        <v>5</v>
      </c>
      <c r="U49" s="81">
        <v>3</v>
      </c>
      <c r="V49" s="79">
        <v>5</v>
      </c>
      <c r="W49" s="78">
        <v>5</v>
      </c>
      <c r="X49" s="79">
        <v>5</v>
      </c>
      <c r="Y49" s="79">
        <v>3</v>
      </c>
      <c r="Z49" s="79" t="s">
        <v>413</v>
      </c>
      <c r="AA49" s="25" t="s">
        <v>413</v>
      </c>
      <c r="AB49" s="79" t="s">
        <v>413</v>
      </c>
      <c r="AC49" s="25" t="s">
        <v>413</v>
      </c>
      <c r="AD49" s="79" t="s">
        <v>413</v>
      </c>
      <c r="AE49" s="25" t="s">
        <v>413</v>
      </c>
      <c r="AF49" s="79">
        <v>5</v>
      </c>
      <c r="AG49" s="25">
        <v>5</v>
      </c>
    </row>
    <row r="50" spans="1:33" ht="24.95" customHeight="1" x14ac:dyDescent="0.25">
      <c r="A50" s="7">
        <v>48</v>
      </c>
      <c r="B50" s="7" t="s">
        <v>50</v>
      </c>
      <c r="C50" s="27" t="s">
        <v>141</v>
      </c>
      <c r="D50" s="28" t="s">
        <v>142</v>
      </c>
      <c r="E50" s="32">
        <v>1</v>
      </c>
      <c r="F50" s="79" t="s">
        <v>413</v>
      </c>
      <c r="G50" s="79" t="s">
        <v>413</v>
      </c>
      <c r="H50" s="79" t="s">
        <v>413</v>
      </c>
      <c r="I50" s="79" t="s">
        <v>413</v>
      </c>
      <c r="J50" s="79" t="s">
        <v>413</v>
      </c>
      <c r="K50" s="79" t="s">
        <v>413</v>
      </c>
      <c r="L50" s="79" t="s">
        <v>413</v>
      </c>
      <c r="M50" s="79" t="s">
        <v>413</v>
      </c>
      <c r="N50" s="79" t="s">
        <v>413</v>
      </c>
      <c r="O50" s="79" t="s">
        <v>413</v>
      </c>
      <c r="P50" s="79" t="s">
        <v>413</v>
      </c>
      <c r="Q50" s="79" t="s">
        <v>413</v>
      </c>
      <c r="R50" s="79" t="s">
        <v>413</v>
      </c>
      <c r="S50" s="79" t="s">
        <v>413</v>
      </c>
      <c r="T50" s="79">
        <v>5</v>
      </c>
      <c r="U50" s="79">
        <v>5</v>
      </c>
      <c r="V50" s="79">
        <v>5</v>
      </c>
      <c r="W50" s="78">
        <v>5</v>
      </c>
      <c r="X50" s="79">
        <v>5</v>
      </c>
      <c r="Y50" s="79">
        <v>5</v>
      </c>
      <c r="Z50" s="79">
        <v>5</v>
      </c>
      <c r="AA50" s="79">
        <v>5</v>
      </c>
      <c r="AB50" s="79">
        <v>5</v>
      </c>
      <c r="AC50" s="79">
        <v>5</v>
      </c>
      <c r="AD50" s="79">
        <v>5</v>
      </c>
      <c r="AE50" s="79">
        <v>4</v>
      </c>
      <c r="AF50" s="79">
        <v>5</v>
      </c>
      <c r="AG50" s="79">
        <v>5</v>
      </c>
    </row>
    <row r="51" spans="1:33" ht="24.95" customHeight="1" x14ac:dyDescent="0.25">
      <c r="A51" s="7">
        <v>49</v>
      </c>
      <c r="B51" s="7" t="s">
        <v>50</v>
      </c>
      <c r="C51" s="27" t="s">
        <v>143</v>
      </c>
      <c r="D51" s="28" t="s">
        <v>144</v>
      </c>
      <c r="E51" s="32">
        <v>1</v>
      </c>
      <c r="F51" s="79" t="s">
        <v>413</v>
      </c>
      <c r="G51" s="79" t="s">
        <v>413</v>
      </c>
      <c r="H51" s="79" t="s">
        <v>413</v>
      </c>
      <c r="I51" s="79" t="s">
        <v>413</v>
      </c>
      <c r="J51" s="79" t="s">
        <v>413</v>
      </c>
      <c r="K51" s="79" t="s">
        <v>413</v>
      </c>
      <c r="L51" s="79" t="s">
        <v>413</v>
      </c>
      <c r="M51" s="79" t="s">
        <v>413</v>
      </c>
      <c r="N51" s="79" t="s">
        <v>413</v>
      </c>
      <c r="O51" s="79" t="s">
        <v>413</v>
      </c>
      <c r="P51" s="79" t="s">
        <v>413</v>
      </c>
      <c r="Q51" s="79" t="s">
        <v>413</v>
      </c>
      <c r="R51" s="79" t="s">
        <v>413</v>
      </c>
      <c r="S51" s="79" t="s">
        <v>413</v>
      </c>
      <c r="T51" s="79">
        <v>5</v>
      </c>
      <c r="U51" s="79">
        <v>5</v>
      </c>
      <c r="V51" s="79">
        <v>5</v>
      </c>
      <c r="W51" s="78">
        <v>5</v>
      </c>
      <c r="X51" s="79">
        <v>5</v>
      </c>
      <c r="Y51" s="79">
        <v>5</v>
      </c>
      <c r="Z51" s="79">
        <v>5</v>
      </c>
      <c r="AA51" s="79">
        <v>5</v>
      </c>
      <c r="AB51" s="79">
        <v>5</v>
      </c>
      <c r="AC51" s="79">
        <v>5</v>
      </c>
      <c r="AD51" s="79">
        <v>5</v>
      </c>
      <c r="AE51" s="79">
        <v>4</v>
      </c>
      <c r="AF51" s="79">
        <v>5</v>
      </c>
      <c r="AG51" s="79">
        <v>5</v>
      </c>
    </row>
    <row r="52" spans="1:33" ht="24.95" customHeight="1" x14ac:dyDescent="0.25">
      <c r="A52" s="7">
        <v>50</v>
      </c>
      <c r="B52" s="7" t="s">
        <v>50</v>
      </c>
      <c r="C52" s="27" t="s">
        <v>145</v>
      </c>
      <c r="D52" s="28" t="s">
        <v>146</v>
      </c>
      <c r="E52" s="32">
        <v>1</v>
      </c>
      <c r="F52" s="79" t="s">
        <v>413</v>
      </c>
      <c r="G52" s="79" t="s">
        <v>413</v>
      </c>
      <c r="H52" s="79" t="s">
        <v>413</v>
      </c>
      <c r="I52" s="79" t="s">
        <v>413</v>
      </c>
      <c r="J52" s="79" t="s">
        <v>413</v>
      </c>
      <c r="K52" s="79" t="s">
        <v>413</v>
      </c>
      <c r="L52" s="79" t="s">
        <v>413</v>
      </c>
      <c r="M52" s="79" t="s">
        <v>413</v>
      </c>
      <c r="N52" s="79" t="s">
        <v>413</v>
      </c>
      <c r="O52" s="79" t="s">
        <v>413</v>
      </c>
      <c r="P52" s="79" t="s">
        <v>413</v>
      </c>
      <c r="Q52" s="79" t="s">
        <v>413</v>
      </c>
      <c r="R52" s="79" t="s">
        <v>413</v>
      </c>
      <c r="S52" s="79" t="s">
        <v>413</v>
      </c>
      <c r="T52" s="79">
        <v>5</v>
      </c>
      <c r="U52" s="79">
        <v>5</v>
      </c>
      <c r="V52" s="79">
        <v>5</v>
      </c>
      <c r="W52" s="78">
        <v>5</v>
      </c>
      <c r="X52" s="79">
        <v>5</v>
      </c>
      <c r="Y52" s="79">
        <v>5</v>
      </c>
      <c r="Z52" s="79">
        <v>5</v>
      </c>
      <c r="AA52" s="79">
        <v>5</v>
      </c>
      <c r="AB52" s="79">
        <v>5</v>
      </c>
      <c r="AC52" s="79">
        <v>5</v>
      </c>
      <c r="AD52" s="79">
        <v>5</v>
      </c>
      <c r="AE52" s="79">
        <v>4</v>
      </c>
      <c r="AF52" s="79">
        <v>5</v>
      </c>
      <c r="AG52" s="79">
        <v>5</v>
      </c>
    </row>
    <row r="53" spans="1:33" ht="24.95" customHeight="1" x14ac:dyDescent="0.25">
      <c r="A53" s="7">
        <v>51</v>
      </c>
      <c r="B53" s="7" t="s">
        <v>50</v>
      </c>
      <c r="C53" s="27" t="s">
        <v>147</v>
      </c>
      <c r="D53" s="28" t="s">
        <v>148</v>
      </c>
      <c r="E53" s="32">
        <v>1</v>
      </c>
      <c r="F53" s="79" t="s">
        <v>413</v>
      </c>
      <c r="G53" s="79" t="s">
        <v>413</v>
      </c>
      <c r="H53" s="79" t="s">
        <v>413</v>
      </c>
      <c r="I53" s="79" t="s">
        <v>413</v>
      </c>
      <c r="J53" s="79" t="s">
        <v>413</v>
      </c>
      <c r="K53" s="79" t="s">
        <v>413</v>
      </c>
      <c r="L53" s="79" t="s">
        <v>413</v>
      </c>
      <c r="M53" s="79" t="s">
        <v>413</v>
      </c>
      <c r="N53" s="79" t="s">
        <v>413</v>
      </c>
      <c r="O53" s="79" t="s">
        <v>413</v>
      </c>
      <c r="P53" s="79" t="s">
        <v>413</v>
      </c>
      <c r="Q53" s="79" t="s">
        <v>413</v>
      </c>
      <c r="R53" s="79" t="s">
        <v>413</v>
      </c>
      <c r="S53" s="79" t="s">
        <v>413</v>
      </c>
      <c r="T53" s="79">
        <v>5</v>
      </c>
      <c r="U53" s="79">
        <v>5</v>
      </c>
      <c r="V53" s="79">
        <v>5</v>
      </c>
      <c r="W53" s="78">
        <v>5</v>
      </c>
      <c r="X53" s="79">
        <v>5</v>
      </c>
      <c r="Y53" s="79">
        <v>5</v>
      </c>
      <c r="Z53" s="79">
        <v>5</v>
      </c>
      <c r="AA53" s="79">
        <v>5</v>
      </c>
      <c r="AB53" s="79">
        <v>5</v>
      </c>
      <c r="AC53" s="79">
        <v>5</v>
      </c>
      <c r="AD53" s="79">
        <v>5</v>
      </c>
      <c r="AE53" s="79">
        <v>4</v>
      </c>
      <c r="AF53" s="79">
        <v>5</v>
      </c>
      <c r="AG53" s="79">
        <v>5</v>
      </c>
    </row>
    <row r="54" spans="1:33" ht="24.95" customHeight="1" x14ac:dyDescent="0.25">
      <c r="A54" s="7">
        <v>52</v>
      </c>
      <c r="B54" s="7" t="s">
        <v>50</v>
      </c>
      <c r="C54" s="27" t="s">
        <v>149</v>
      </c>
      <c r="D54" s="28" t="s">
        <v>150</v>
      </c>
      <c r="E54" s="32">
        <v>1</v>
      </c>
      <c r="F54" s="79" t="s">
        <v>413</v>
      </c>
      <c r="G54" s="79" t="s">
        <v>413</v>
      </c>
      <c r="H54" s="79" t="s">
        <v>413</v>
      </c>
      <c r="I54" s="79" t="s">
        <v>413</v>
      </c>
      <c r="J54" s="79" t="s">
        <v>413</v>
      </c>
      <c r="K54" s="79" t="s">
        <v>413</v>
      </c>
      <c r="L54" s="79" t="s">
        <v>413</v>
      </c>
      <c r="M54" s="79" t="s">
        <v>413</v>
      </c>
      <c r="N54" s="79" t="s">
        <v>413</v>
      </c>
      <c r="O54" s="79" t="s">
        <v>413</v>
      </c>
      <c r="P54" s="79" t="s">
        <v>413</v>
      </c>
      <c r="Q54" s="79" t="s">
        <v>413</v>
      </c>
      <c r="R54" s="79" t="s">
        <v>413</v>
      </c>
      <c r="S54" s="79" t="s">
        <v>413</v>
      </c>
      <c r="T54" s="79">
        <v>5</v>
      </c>
      <c r="U54" s="79">
        <v>5</v>
      </c>
      <c r="V54" s="79">
        <v>5</v>
      </c>
      <c r="W54" s="78">
        <v>5</v>
      </c>
      <c r="X54" s="79">
        <v>5</v>
      </c>
      <c r="Y54" s="79">
        <v>5</v>
      </c>
      <c r="Z54" s="79">
        <v>5</v>
      </c>
      <c r="AA54" s="79">
        <v>5</v>
      </c>
      <c r="AB54" s="79">
        <v>5</v>
      </c>
      <c r="AC54" s="79">
        <v>5</v>
      </c>
      <c r="AD54" s="79">
        <v>5</v>
      </c>
      <c r="AE54" s="79">
        <v>4</v>
      </c>
      <c r="AF54" s="79">
        <v>5</v>
      </c>
      <c r="AG54" s="79">
        <v>5</v>
      </c>
    </row>
    <row r="55" spans="1:33" ht="24.95" customHeight="1" x14ac:dyDescent="0.25">
      <c r="A55" s="7">
        <v>53</v>
      </c>
      <c r="B55" s="7" t="s">
        <v>50</v>
      </c>
      <c r="C55" s="27" t="s">
        <v>151</v>
      </c>
      <c r="D55" s="28" t="s">
        <v>152</v>
      </c>
      <c r="E55" s="32">
        <v>1</v>
      </c>
      <c r="F55" s="79" t="s">
        <v>413</v>
      </c>
      <c r="G55" s="79" t="s">
        <v>413</v>
      </c>
      <c r="H55" s="79" t="s">
        <v>413</v>
      </c>
      <c r="I55" s="79" t="s">
        <v>413</v>
      </c>
      <c r="J55" s="79" t="s">
        <v>413</v>
      </c>
      <c r="K55" s="79" t="s">
        <v>413</v>
      </c>
      <c r="L55" s="79" t="s">
        <v>413</v>
      </c>
      <c r="M55" s="79" t="s">
        <v>413</v>
      </c>
      <c r="N55" s="79" t="s">
        <v>413</v>
      </c>
      <c r="O55" s="79" t="s">
        <v>413</v>
      </c>
      <c r="P55" s="79" t="s">
        <v>413</v>
      </c>
      <c r="Q55" s="79" t="s">
        <v>413</v>
      </c>
      <c r="R55" s="79" t="s">
        <v>413</v>
      </c>
      <c r="S55" s="79" t="s">
        <v>413</v>
      </c>
      <c r="T55" s="79">
        <v>5</v>
      </c>
      <c r="U55" s="79">
        <v>5</v>
      </c>
      <c r="V55" s="79">
        <v>5</v>
      </c>
      <c r="W55" s="78">
        <v>5</v>
      </c>
      <c r="X55" s="79">
        <v>5</v>
      </c>
      <c r="Y55" s="79">
        <v>5</v>
      </c>
      <c r="Z55" s="79">
        <v>5</v>
      </c>
      <c r="AA55" s="79">
        <v>5</v>
      </c>
      <c r="AB55" s="79">
        <v>5</v>
      </c>
      <c r="AC55" s="79">
        <v>5</v>
      </c>
      <c r="AD55" s="79">
        <v>5</v>
      </c>
      <c r="AE55" s="79">
        <v>4</v>
      </c>
      <c r="AF55" s="79">
        <v>5</v>
      </c>
      <c r="AG55" s="79">
        <v>5</v>
      </c>
    </row>
    <row r="56" spans="1:33" ht="24.95" customHeight="1" x14ac:dyDescent="0.25">
      <c r="A56" s="7">
        <v>54</v>
      </c>
      <c r="B56" s="7" t="s">
        <v>50</v>
      </c>
      <c r="C56" s="27" t="s">
        <v>153</v>
      </c>
      <c r="D56" s="28" t="s">
        <v>154</v>
      </c>
      <c r="E56" s="25">
        <v>5</v>
      </c>
      <c r="F56" s="80" t="s">
        <v>413</v>
      </c>
      <c r="G56" s="80" t="s">
        <v>413</v>
      </c>
      <c r="H56" s="80" t="s">
        <v>413</v>
      </c>
      <c r="I56" s="80" t="s">
        <v>413</v>
      </c>
      <c r="J56" s="80" t="s">
        <v>413</v>
      </c>
      <c r="K56" s="80" t="s">
        <v>413</v>
      </c>
      <c r="L56" s="80" t="s">
        <v>413</v>
      </c>
      <c r="M56" s="80" t="s">
        <v>413</v>
      </c>
      <c r="N56" s="80" t="s">
        <v>413</v>
      </c>
      <c r="O56" s="80" t="s">
        <v>413</v>
      </c>
      <c r="P56" s="80" t="s">
        <v>413</v>
      </c>
      <c r="Q56" s="80" t="s">
        <v>413</v>
      </c>
      <c r="R56" s="80" t="s">
        <v>413</v>
      </c>
      <c r="S56" s="79" t="s">
        <v>413</v>
      </c>
      <c r="T56" s="79">
        <v>5</v>
      </c>
      <c r="U56" s="80">
        <v>5</v>
      </c>
      <c r="V56" s="79">
        <v>5</v>
      </c>
      <c r="W56" s="78">
        <v>5</v>
      </c>
      <c r="X56" s="79">
        <v>5</v>
      </c>
      <c r="Y56" s="79">
        <v>5</v>
      </c>
      <c r="Z56" s="79">
        <v>5</v>
      </c>
      <c r="AA56" s="80">
        <v>5</v>
      </c>
      <c r="AB56" s="79">
        <v>5</v>
      </c>
      <c r="AC56" s="80">
        <v>2</v>
      </c>
      <c r="AD56" s="79">
        <v>5</v>
      </c>
      <c r="AE56" s="79">
        <v>4</v>
      </c>
      <c r="AF56" s="79">
        <v>5</v>
      </c>
      <c r="AG56" s="79">
        <v>3</v>
      </c>
    </row>
    <row r="57" spans="1:33" ht="24.95" customHeight="1" x14ac:dyDescent="0.25">
      <c r="A57" s="7">
        <v>55</v>
      </c>
      <c r="B57" s="7" t="s">
        <v>50</v>
      </c>
      <c r="C57" s="27" t="s">
        <v>155</v>
      </c>
      <c r="D57" s="28" t="s">
        <v>156</v>
      </c>
      <c r="E57" s="31">
        <v>4</v>
      </c>
      <c r="F57" s="80" t="s">
        <v>413</v>
      </c>
      <c r="G57" s="80" t="s">
        <v>413</v>
      </c>
      <c r="H57" s="80" t="s">
        <v>413</v>
      </c>
      <c r="I57" s="80" t="s">
        <v>413</v>
      </c>
      <c r="J57" s="80" t="s">
        <v>413</v>
      </c>
      <c r="K57" s="80" t="s">
        <v>413</v>
      </c>
      <c r="L57" s="80" t="s">
        <v>413</v>
      </c>
      <c r="M57" s="80" t="s">
        <v>413</v>
      </c>
      <c r="N57" s="80" t="s">
        <v>413</v>
      </c>
      <c r="O57" s="78" t="s">
        <v>413</v>
      </c>
      <c r="P57" s="78" t="s">
        <v>413</v>
      </c>
      <c r="Q57" s="78" t="s">
        <v>413</v>
      </c>
      <c r="R57" s="79" t="s">
        <v>413</v>
      </c>
      <c r="S57" s="79" t="s">
        <v>413</v>
      </c>
      <c r="T57" s="79">
        <v>5</v>
      </c>
      <c r="U57" s="79">
        <v>5</v>
      </c>
      <c r="V57" s="79">
        <v>5</v>
      </c>
      <c r="W57" s="78">
        <v>5</v>
      </c>
      <c r="X57" s="79">
        <v>5</v>
      </c>
      <c r="Y57" s="79">
        <v>5</v>
      </c>
      <c r="Z57" s="79">
        <v>5</v>
      </c>
      <c r="AA57" s="79">
        <v>5</v>
      </c>
      <c r="AB57" s="79">
        <v>5</v>
      </c>
      <c r="AC57" s="79">
        <v>5</v>
      </c>
      <c r="AD57" s="79">
        <v>5</v>
      </c>
      <c r="AE57" s="79">
        <v>4</v>
      </c>
      <c r="AF57" s="79">
        <v>5</v>
      </c>
      <c r="AG57" s="79">
        <v>5</v>
      </c>
    </row>
    <row r="58" spans="1:33" ht="24.95" customHeight="1" x14ac:dyDescent="0.25">
      <c r="A58" s="7">
        <v>56</v>
      </c>
      <c r="B58" s="7" t="s">
        <v>50</v>
      </c>
      <c r="C58" s="27" t="s">
        <v>157</v>
      </c>
      <c r="D58" s="28" t="s">
        <v>158</v>
      </c>
      <c r="E58" s="31">
        <v>5</v>
      </c>
      <c r="F58" s="80" t="s">
        <v>413</v>
      </c>
      <c r="G58" s="80" t="s">
        <v>413</v>
      </c>
      <c r="H58" s="80" t="s">
        <v>413</v>
      </c>
      <c r="I58" s="80" t="s">
        <v>413</v>
      </c>
      <c r="J58" s="80" t="s">
        <v>413</v>
      </c>
      <c r="K58" s="80" t="s">
        <v>413</v>
      </c>
      <c r="L58" s="80" t="s">
        <v>413</v>
      </c>
      <c r="M58" s="80" t="s">
        <v>413</v>
      </c>
      <c r="N58" s="80" t="s">
        <v>413</v>
      </c>
      <c r="O58" s="78" t="s">
        <v>413</v>
      </c>
      <c r="P58" s="78" t="s">
        <v>413</v>
      </c>
      <c r="Q58" s="78" t="s">
        <v>413</v>
      </c>
      <c r="R58" s="79" t="s">
        <v>413</v>
      </c>
      <c r="S58" s="79" t="s">
        <v>413</v>
      </c>
      <c r="T58" s="79">
        <v>5</v>
      </c>
      <c r="U58" s="79">
        <v>5</v>
      </c>
      <c r="V58" s="79">
        <v>5</v>
      </c>
      <c r="W58" s="78">
        <v>5</v>
      </c>
      <c r="X58" s="79">
        <v>5</v>
      </c>
      <c r="Y58" s="79">
        <v>5</v>
      </c>
      <c r="Z58" s="79">
        <v>5</v>
      </c>
      <c r="AA58" s="79">
        <v>5</v>
      </c>
      <c r="AB58" s="79">
        <v>5</v>
      </c>
      <c r="AC58" s="79">
        <v>2</v>
      </c>
      <c r="AD58" s="79">
        <v>5</v>
      </c>
      <c r="AE58" s="79">
        <v>2</v>
      </c>
      <c r="AF58" s="79">
        <v>5</v>
      </c>
      <c r="AG58" s="79">
        <v>2</v>
      </c>
    </row>
    <row r="59" spans="1:33" ht="24.95" customHeight="1" x14ac:dyDescent="0.25">
      <c r="A59" s="7">
        <v>57</v>
      </c>
      <c r="B59" s="7" t="s">
        <v>50</v>
      </c>
      <c r="C59" s="27" t="s">
        <v>159</v>
      </c>
      <c r="D59" s="28" t="s">
        <v>29</v>
      </c>
      <c r="E59" s="23">
        <v>5</v>
      </c>
      <c r="F59" s="25" t="s">
        <v>413</v>
      </c>
      <c r="G59" s="25" t="s">
        <v>413</v>
      </c>
      <c r="H59" s="25" t="s">
        <v>413</v>
      </c>
      <c r="I59" s="25" t="s">
        <v>413</v>
      </c>
      <c r="J59" s="25" t="s">
        <v>413</v>
      </c>
      <c r="K59" s="25" t="s">
        <v>413</v>
      </c>
      <c r="L59" s="25" t="s">
        <v>413</v>
      </c>
      <c r="M59" s="25" t="s">
        <v>413</v>
      </c>
      <c r="N59" s="25" t="s">
        <v>413</v>
      </c>
      <c r="O59" s="78" t="s">
        <v>413</v>
      </c>
      <c r="P59" s="78" t="s">
        <v>413</v>
      </c>
      <c r="Q59" s="78" t="s">
        <v>413</v>
      </c>
      <c r="R59" s="81" t="s">
        <v>413</v>
      </c>
      <c r="S59" s="81" t="s">
        <v>413</v>
      </c>
      <c r="T59" s="79">
        <v>5</v>
      </c>
      <c r="U59" s="81">
        <v>5</v>
      </c>
      <c r="V59" s="79">
        <v>5</v>
      </c>
      <c r="W59" s="78">
        <v>5</v>
      </c>
      <c r="X59" s="79">
        <v>5</v>
      </c>
      <c r="Y59" s="79">
        <v>5</v>
      </c>
      <c r="Z59" s="79">
        <v>5</v>
      </c>
      <c r="AA59" s="80">
        <v>5</v>
      </c>
      <c r="AB59" s="79">
        <v>5</v>
      </c>
      <c r="AC59" s="80">
        <v>2</v>
      </c>
      <c r="AD59" s="79">
        <v>5</v>
      </c>
      <c r="AE59" s="80">
        <v>2</v>
      </c>
      <c r="AF59" s="79">
        <v>5</v>
      </c>
      <c r="AG59" s="80">
        <v>5</v>
      </c>
    </row>
    <row r="60" spans="1:33" ht="24.95" customHeight="1" x14ac:dyDescent="0.25">
      <c r="A60" s="7">
        <v>58</v>
      </c>
      <c r="B60" s="7" t="s">
        <v>50</v>
      </c>
      <c r="C60" s="27" t="s">
        <v>0</v>
      </c>
      <c r="D60" s="28" t="s">
        <v>27</v>
      </c>
      <c r="E60" s="24">
        <v>2</v>
      </c>
      <c r="F60" s="81" t="s">
        <v>413</v>
      </c>
      <c r="G60" s="81" t="s">
        <v>413</v>
      </c>
      <c r="H60" s="81" t="s">
        <v>413</v>
      </c>
      <c r="I60" s="81" t="s">
        <v>413</v>
      </c>
      <c r="J60" s="81" t="s">
        <v>413</v>
      </c>
      <c r="K60" s="81" t="s">
        <v>413</v>
      </c>
      <c r="L60" s="81" t="s">
        <v>413</v>
      </c>
      <c r="M60" s="81" t="s">
        <v>413</v>
      </c>
      <c r="N60" s="81" t="s">
        <v>413</v>
      </c>
      <c r="O60" s="81" t="s">
        <v>413</v>
      </c>
      <c r="P60" s="81" t="s">
        <v>413</v>
      </c>
      <c r="Q60" s="81" t="s">
        <v>413</v>
      </c>
      <c r="R60" s="81" t="s">
        <v>413</v>
      </c>
      <c r="S60" s="79" t="s">
        <v>413</v>
      </c>
      <c r="T60" s="79">
        <v>5</v>
      </c>
      <c r="U60" s="81">
        <v>3</v>
      </c>
      <c r="V60" s="79">
        <v>5</v>
      </c>
      <c r="W60" s="78">
        <v>5</v>
      </c>
      <c r="X60" s="79">
        <v>5</v>
      </c>
      <c r="Y60" s="79">
        <v>3</v>
      </c>
      <c r="Z60" s="79">
        <v>5</v>
      </c>
      <c r="AA60" s="78">
        <v>5</v>
      </c>
      <c r="AB60" s="79">
        <v>5</v>
      </c>
      <c r="AC60" s="78">
        <v>5</v>
      </c>
      <c r="AD60" s="79">
        <v>5</v>
      </c>
      <c r="AE60" s="81">
        <v>3</v>
      </c>
      <c r="AF60" s="79">
        <v>5</v>
      </c>
      <c r="AG60" s="81">
        <v>3</v>
      </c>
    </row>
    <row r="61" spans="1:33" ht="24.95" customHeight="1" x14ac:dyDescent="0.25">
      <c r="A61" s="7">
        <v>59</v>
      </c>
      <c r="B61" s="7" t="s">
        <v>50</v>
      </c>
      <c r="C61" s="27" t="s">
        <v>22</v>
      </c>
      <c r="D61" s="28" t="s">
        <v>46</v>
      </c>
      <c r="E61" s="31">
        <v>4</v>
      </c>
      <c r="F61" s="81" t="s">
        <v>413</v>
      </c>
      <c r="G61" s="81" t="s">
        <v>413</v>
      </c>
      <c r="H61" s="81" t="s">
        <v>413</v>
      </c>
      <c r="I61" s="81" t="s">
        <v>413</v>
      </c>
      <c r="J61" s="81" t="s">
        <v>413</v>
      </c>
      <c r="K61" s="81" t="s">
        <v>413</v>
      </c>
      <c r="L61" s="81" t="s">
        <v>413</v>
      </c>
      <c r="M61" s="81" t="s">
        <v>413</v>
      </c>
      <c r="N61" s="81" t="s">
        <v>413</v>
      </c>
      <c r="O61" s="81" t="s">
        <v>413</v>
      </c>
      <c r="P61" s="81" t="s">
        <v>413</v>
      </c>
      <c r="Q61" s="81" t="s">
        <v>413</v>
      </c>
      <c r="R61" s="79" t="s">
        <v>413</v>
      </c>
      <c r="S61" s="79" t="s">
        <v>413</v>
      </c>
      <c r="T61" s="79">
        <v>5</v>
      </c>
      <c r="U61" s="79">
        <v>5</v>
      </c>
      <c r="V61" s="79">
        <v>5</v>
      </c>
      <c r="W61" s="78">
        <v>5</v>
      </c>
      <c r="X61" s="79">
        <v>5</v>
      </c>
      <c r="Y61" s="79">
        <v>5</v>
      </c>
      <c r="Z61" s="79">
        <v>5</v>
      </c>
      <c r="AA61" s="79">
        <v>5</v>
      </c>
      <c r="AB61" s="79">
        <v>5</v>
      </c>
      <c r="AC61" s="79">
        <v>5</v>
      </c>
      <c r="AD61" s="79">
        <v>5</v>
      </c>
      <c r="AE61" s="79">
        <v>4</v>
      </c>
      <c r="AF61" s="79">
        <v>5</v>
      </c>
      <c r="AG61" s="79">
        <v>5</v>
      </c>
    </row>
    <row r="62" spans="1:33" ht="24.95" customHeight="1" x14ac:dyDescent="0.25">
      <c r="A62" s="7">
        <v>60</v>
      </c>
      <c r="B62" s="7" t="s">
        <v>50</v>
      </c>
      <c r="C62" s="27" t="s">
        <v>162</v>
      </c>
      <c r="D62" s="28" t="s">
        <v>163</v>
      </c>
      <c r="E62" s="31">
        <v>4</v>
      </c>
      <c r="F62" s="80" t="s">
        <v>413</v>
      </c>
      <c r="G62" s="80" t="s">
        <v>413</v>
      </c>
      <c r="H62" s="80" t="s">
        <v>413</v>
      </c>
      <c r="I62" s="80" t="s">
        <v>413</v>
      </c>
      <c r="J62" s="80" t="s">
        <v>413</v>
      </c>
      <c r="K62" s="80" t="s">
        <v>413</v>
      </c>
      <c r="L62" s="80" t="s">
        <v>413</v>
      </c>
      <c r="M62" s="80" t="s">
        <v>413</v>
      </c>
      <c r="N62" s="80" t="s">
        <v>413</v>
      </c>
      <c r="O62" s="80" t="s">
        <v>413</v>
      </c>
      <c r="P62" s="80" t="s">
        <v>413</v>
      </c>
      <c r="Q62" s="80" t="s">
        <v>413</v>
      </c>
      <c r="R62" s="79" t="s">
        <v>413</v>
      </c>
      <c r="S62" s="79" t="s">
        <v>413</v>
      </c>
      <c r="T62" s="79">
        <v>5</v>
      </c>
      <c r="U62" s="79">
        <v>5</v>
      </c>
      <c r="V62" s="79">
        <v>5</v>
      </c>
      <c r="W62" s="78">
        <v>5</v>
      </c>
      <c r="X62" s="79">
        <v>5</v>
      </c>
      <c r="Y62" s="79">
        <v>5</v>
      </c>
      <c r="Z62" s="79">
        <v>5</v>
      </c>
      <c r="AA62" s="81">
        <v>3</v>
      </c>
      <c r="AB62" s="79">
        <v>5</v>
      </c>
      <c r="AC62" s="80">
        <v>5</v>
      </c>
      <c r="AD62" s="79">
        <v>5</v>
      </c>
      <c r="AE62" s="80">
        <v>2</v>
      </c>
      <c r="AF62" s="79">
        <v>5</v>
      </c>
      <c r="AG62" s="80">
        <v>4</v>
      </c>
    </row>
    <row r="63" spans="1:33" ht="24.95" customHeight="1" x14ac:dyDescent="0.25">
      <c r="A63" s="7">
        <v>61</v>
      </c>
      <c r="B63" s="7" t="s">
        <v>50</v>
      </c>
      <c r="C63" s="27" t="s">
        <v>164</v>
      </c>
      <c r="D63" s="28" t="s">
        <v>165</v>
      </c>
      <c r="E63" s="31">
        <v>3</v>
      </c>
      <c r="F63" s="81" t="s">
        <v>413</v>
      </c>
      <c r="G63" s="81" t="s">
        <v>413</v>
      </c>
      <c r="H63" s="81" t="s">
        <v>413</v>
      </c>
      <c r="I63" s="81" t="s">
        <v>413</v>
      </c>
      <c r="J63" s="81" t="s">
        <v>413</v>
      </c>
      <c r="K63" s="81" t="s">
        <v>413</v>
      </c>
      <c r="L63" s="81" t="s">
        <v>413</v>
      </c>
      <c r="M63" s="81" t="s">
        <v>413</v>
      </c>
      <c r="N63" s="81" t="s">
        <v>413</v>
      </c>
      <c r="O63" s="78" t="s">
        <v>413</v>
      </c>
      <c r="P63" s="78" t="s">
        <v>413</v>
      </c>
      <c r="Q63" s="78" t="s">
        <v>413</v>
      </c>
      <c r="R63" s="79" t="s">
        <v>413</v>
      </c>
      <c r="S63" s="79" t="s">
        <v>413</v>
      </c>
      <c r="T63" s="79">
        <v>5</v>
      </c>
      <c r="U63" s="79">
        <v>5</v>
      </c>
      <c r="V63" s="79">
        <v>5</v>
      </c>
      <c r="W63" s="78">
        <v>5</v>
      </c>
      <c r="X63" s="79">
        <v>5</v>
      </c>
      <c r="Y63" s="79">
        <v>5</v>
      </c>
      <c r="Z63" s="79">
        <v>5</v>
      </c>
      <c r="AA63" s="79">
        <v>5</v>
      </c>
      <c r="AB63" s="79">
        <v>5</v>
      </c>
      <c r="AC63" s="79">
        <v>5</v>
      </c>
      <c r="AD63" s="79">
        <v>5</v>
      </c>
      <c r="AE63" s="79">
        <v>4</v>
      </c>
      <c r="AF63" s="79">
        <v>5</v>
      </c>
      <c r="AG63" s="79">
        <v>5</v>
      </c>
    </row>
    <row r="64" spans="1:33" ht="24.95" customHeight="1" x14ac:dyDescent="0.25">
      <c r="A64" s="7">
        <v>62</v>
      </c>
      <c r="B64" s="7" t="s">
        <v>50</v>
      </c>
      <c r="C64" s="27" t="s">
        <v>23</v>
      </c>
      <c r="D64" s="28" t="s">
        <v>47</v>
      </c>
      <c r="E64" s="31">
        <v>3</v>
      </c>
      <c r="F64" s="81" t="s">
        <v>413</v>
      </c>
      <c r="G64" s="81" t="s">
        <v>413</v>
      </c>
      <c r="H64" s="81" t="s">
        <v>413</v>
      </c>
      <c r="I64" s="81" t="s">
        <v>413</v>
      </c>
      <c r="J64" s="81" t="s">
        <v>413</v>
      </c>
      <c r="K64" s="81" t="s">
        <v>413</v>
      </c>
      <c r="L64" s="81" t="s">
        <v>413</v>
      </c>
      <c r="M64" s="81" t="s">
        <v>413</v>
      </c>
      <c r="N64" s="81" t="s">
        <v>413</v>
      </c>
      <c r="O64" s="81" t="s">
        <v>413</v>
      </c>
      <c r="P64" s="81" t="s">
        <v>413</v>
      </c>
      <c r="Q64" s="81" t="s">
        <v>413</v>
      </c>
      <c r="R64" s="79" t="s">
        <v>413</v>
      </c>
      <c r="S64" s="79" t="s">
        <v>413</v>
      </c>
      <c r="T64" s="79">
        <v>5</v>
      </c>
      <c r="U64" s="79">
        <v>5</v>
      </c>
      <c r="V64" s="79">
        <v>5</v>
      </c>
      <c r="W64" s="78">
        <v>5</v>
      </c>
      <c r="X64" s="79">
        <v>5</v>
      </c>
      <c r="Y64" s="79">
        <v>5</v>
      </c>
      <c r="Z64" s="79">
        <v>5</v>
      </c>
      <c r="AA64" s="79">
        <v>5</v>
      </c>
      <c r="AB64" s="79">
        <v>5</v>
      </c>
      <c r="AC64" s="79">
        <v>5</v>
      </c>
      <c r="AD64" s="79">
        <v>5</v>
      </c>
      <c r="AE64" s="79">
        <v>4</v>
      </c>
      <c r="AF64" s="79">
        <v>5</v>
      </c>
      <c r="AG64" s="79">
        <v>5</v>
      </c>
    </row>
    <row r="65" spans="1:33" ht="24.95" customHeight="1" x14ac:dyDescent="0.25">
      <c r="A65" s="7">
        <v>63</v>
      </c>
      <c r="B65" s="7" t="s">
        <v>50</v>
      </c>
      <c r="C65" s="27" t="s">
        <v>166</v>
      </c>
      <c r="D65" s="28" t="s">
        <v>167</v>
      </c>
      <c r="E65" s="31">
        <v>2</v>
      </c>
      <c r="F65" s="81" t="s">
        <v>413</v>
      </c>
      <c r="G65" s="81" t="s">
        <v>413</v>
      </c>
      <c r="H65" s="81" t="s">
        <v>413</v>
      </c>
      <c r="I65" s="81" t="s">
        <v>413</v>
      </c>
      <c r="J65" s="81" t="s">
        <v>413</v>
      </c>
      <c r="K65" s="81" t="s">
        <v>413</v>
      </c>
      <c r="L65" s="81" t="s">
        <v>413</v>
      </c>
      <c r="M65" s="81" t="s">
        <v>413</v>
      </c>
      <c r="N65" s="81" t="s">
        <v>413</v>
      </c>
      <c r="O65" s="81" t="s">
        <v>413</v>
      </c>
      <c r="P65" s="81" t="s">
        <v>413</v>
      </c>
      <c r="Q65" s="81" t="s">
        <v>413</v>
      </c>
      <c r="R65" s="79" t="s">
        <v>413</v>
      </c>
      <c r="S65" s="79" t="s">
        <v>413</v>
      </c>
      <c r="T65" s="79">
        <v>5</v>
      </c>
      <c r="U65" s="79">
        <v>5</v>
      </c>
      <c r="V65" s="79">
        <v>5</v>
      </c>
      <c r="W65" s="78">
        <v>5</v>
      </c>
      <c r="X65" s="79">
        <v>5</v>
      </c>
      <c r="Y65" s="79">
        <v>5</v>
      </c>
      <c r="Z65" s="79">
        <v>5</v>
      </c>
      <c r="AA65" s="79">
        <v>5</v>
      </c>
      <c r="AB65" s="79">
        <v>5</v>
      </c>
      <c r="AC65" s="79">
        <v>5</v>
      </c>
      <c r="AD65" s="79">
        <v>5</v>
      </c>
      <c r="AE65" s="79">
        <v>4</v>
      </c>
      <c r="AF65" s="79">
        <v>5</v>
      </c>
      <c r="AG65" s="79">
        <v>5</v>
      </c>
    </row>
    <row r="66" spans="1:33" ht="24.95" customHeight="1" x14ac:dyDescent="0.25">
      <c r="A66" s="7">
        <v>64</v>
      </c>
      <c r="B66" s="7" t="s">
        <v>49</v>
      </c>
      <c r="C66" s="7" t="s">
        <v>49</v>
      </c>
      <c r="D66" s="26" t="s">
        <v>341</v>
      </c>
      <c r="E66" s="23">
        <v>4</v>
      </c>
      <c r="F66" s="78">
        <v>5</v>
      </c>
      <c r="G66" s="78">
        <v>4</v>
      </c>
      <c r="H66" s="78">
        <v>5</v>
      </c>
      <c r="I66" s="79">
        <v>2</v>
      </c>
      <c r="J66" s="78">
        <v>5</v>
      </c>
      <c r="K66" s="78">
        <v>5</v>
      </c>
      <c r="L66" s="78">
        <v>5</v>
      </c>
      <c r="M66" s="78">
        <v>5</v>
      </c>
      <c r="N66" s="78" t="s">
        <v>413</v>
      </c>
      <c r="O66" s="78" t="s">
        <v>413</v>
      </c>
      <c r="P66" s="78">
        <v>5</v>
      </c>
      <c r="Q66" s="78">
        <v>4</v>
      </c>
      <c r="R66" s="78">
        <v>5</v>
      </c>
      <c r="S66" s="78">
        <v>5</v>
      </c>
      <c r="T66" s="25" t="s">
        <v>413</v>
      </c>
      <c r="U66" s="25" t="s">
        <v>413</v>
      </c>
      <c r="V66" s="25" t="s">
        <v>413</v>
      </c>
      <c r="W66" s="80" t="s">
        <v>413</v>
      </c>
      <c r="X66" s="25" t="s">
        <v>413</v>
      </c>
      <c r="Y66" s="25" t="s">
        <v>413</v>
      </c>
      <c r="Z66" s="25" t="s">
        <v>413</v>
      </c>
      <c r="AA66" s="25" t="s">
        <v>413</v>
      </c>
      <c r="AB66" s="25" t="s">
        <v>413</v>
      </c>
      <c r="AC66" s="25" t="s">
        <v>413</v>
      </c>
      <c r="AD66" s="25" t="s">
        <v>413</v>
      </c>
      <c r="AE66" s="25" t="s">
        <v>413</v>
      </c>
      <c r="AF66" s="25" t="s">
        <v>413</v>
      </c>
      <c r="AG66" s="25" t="s">
        <v>413</v>
      </c>
    </row>
    <row r="67" spans="1:33" ht="24.95" customHeight="1" x14ac:dyDescent="0.25">
      <c r="A67" s="7">
        <v>65</v>
      </c>
      <c r="B67" s="7" t="s">
        <v>49</v>
      </c>
      <c r="C67" s="7" t="s">
        <v>49</v>
      </c>
      <c r="D67" s="26" t="s">
        <v>342</v>
      </c>
      <c r="E67" s="23">
        <v>4</v>
      </c>
      <c r="F67" s="78">
        <v>5</v>
      </c>
      <c r="G67" s="78">
        <v>4</v>
      </c>
      <c r="H67" s="78">
        <v>5</v>
      </c>
      <c r="I67" s="79">
        <v>2</v>
      </c>
      <c r="J67" s="78">
        <v>5</v>
      </c>
      <c r="K67" s="78">
        <v>5</v>
      </c>
      <c r="L67" s="78">
        <v>5</v>
      </c>
      <c r="M67" s="78">
        <v>5</v>
      </c>
      <c r="N67" s="78" t="s">
        <v>413</v>
      </c>
      <c r="O67" s="78" t="s">
        <v>413</v>
      </c>
      <c r="P67" s="78">
        <v>5</v>
      </c>
      <c r="Q67" s="78">
        <v>4</v>
      </c>
      <c r="R67" s="78">
        <v>5</v>
      </c>
      <c r="S67" s="78">
        <v>5</v>
      </c>
      <c r="T67" s="25" t="s">
        <v>413</v>
      </c>
      <c r="U67" s="25" t="s">
        <v>413</v>
      </c>
      <c r="V67" s="25" t="s">
        <v>413</v>
      </c>
      <c r="W67" s="80" t="s">
        <v>413</v>
      </c>
      <c r="X67" s="25" t="s">
        <v>413</v>
      </c>
      <c r="Y67" s="25" t="s">
        <v>413</v>
      </c>
      <c r="Z67" s="25" t="s">
        <v>413</v>
      </c>
      <c r="AA67" s="25" t="s">
        <v>413</v>
      </c>
      <c r="AB67" s="25" t="s">
        <v>413</v>
      </c>
      <c r="AC67" s="25" t="s">
        <v>413</v>
      </c>
      <c r="AD67" s="25" t="s">
        <v>413</v>
      </c>
      <c r="AE67" s="25" t="s">
        <v>413</v>
      </c>
      <c r="AF67" s="25" t="s">
        <v>413</v>
      </c>
      <c r="AG67" s="25" t="s">
        <v>413</v>
      </c>
    </row>
    <row r="68" spans="1:33" ht="24.95" customHeight="1" x14ac:dyDescent="0.25">
      <c r="A68" s="7">
        <v>66</v>
      </c>
      <c r="B68" s="7" t="s">
        <v>49</v>
      </c>
      <c r="C68" s="7" t="s">
        <v>49</v>
      </c>
      <c r="D68" s="26" t="s">
        <v>343</v>
      </c>
      <c r="E68" s="23">
        <v>5</v>
      </c>
      <c r="F68" s="78">
        <v>5</v>
      </c>
      <c r="G68" s="78">
        <v>3</v>
      </c>
      <c r="H68" s="78">
        <v>5</v>
      </c>
      <c r="I68" s="80">
        <v>1</v>
      </c>
      <c r="J68" s="78">
        <v>5</v>
      </c>
      <c r="K68" s="78">
        <v>5</v>
      </c>
      <c r="L68" s="78">
        <v>5</v>
      </c>
      <c r="M68" s="78">
        <v>4</v>
      </c>
      <c r="N68" s="78" t="s">
        <v>413</v>
      </c>
      <c r="O68" s="78" t="s">
        <v>413</v>
      </c>
      <c r="P68" s="78">
        <v>5</v>
      </c>
      <c r="Q68" s="78">
        <v>3</v>
      </c>
      <c r="R68" s="78">
        <v>5</v>
      </c>
      <c r="S68" s="78">
        <v>3</v>
      </c>
      <c r="T68" s="25" t="s">
        <v>413</v>
      </c>
      <c r="U68" s="25" t="s">
        <v>413</v>
      </c>
      <c r="V68" s="25" t="s">
        <v>413</v>
      </c>
      <c r="W68" s="80" t="s">
        <v>413</v>
      </c>
      <c r="X68" s="25" t="s">
        <v>413</v>
      </c>
      <c r="Y68" s="25" t="s">
        <v>413</v>
      </c>
      <c r="Z68" s="25" t="s">
        <v>413</v>
      </c>
      <c r="AA68" s="25" t="s">
        <v>413</v>
      </c>
      <c r="AB68" s="25" t="s">
        <v>413</v>
      </c>
      <c r="AC68" s="25" t="s">
        <v>413</v>
      </c>
      <c r="AD68" s="25" t="s">
        <v>413</v>
      </c>
      <c r="AE68" s="25" t="s">
        <v>413</v>
      </c>
      <c r="AF68" s="25" t="s">
        <v>413</v>
      </c>
      <c r="AG68" s="25" t="s">
        <v>413</v>
      </c>
    </row>
    <row r="69" spans="1:33" ht="24.95" customHeight="1" x14ac:dyDescent="0.25">
      <c r="A69" s="7">
        <v>67</v>
      </c>
      <c r="B69" s="7" t="s">
        <v>49</v>
      </c>
      <c r="C69" s="7" t="s">
        <v>49</v>
      </c>
      <c r="D69" s="26" t="s">
        <v>344</v>
      </c>
      <c r="E69" s="23">
        <v>5</v>
      </c>
      <c r="F69" s="78">
        <v>5</v>
      </c>
      <c r="G69" s="78">
        <v>3</v>
      </c>
      <c r="H69" s="78">
        <v>5</v>
      </c>
      <c r="I69" s="80">
        <v>1</v>
      </c>
      <c r="J69" s="78">
        <v>5</v>
      </c>
      <c r="K69" s="78">
        <v>5</v>
      </c>
      <c r="L69" s="78">
        <v>5</v>
      </c>
      <c r="M69" s="78">
        <v>5</v>
      </c>
      <c r="N69" s="78" t="s">
        <v>413</v>
      </c>
      <c r="O69" s="78" t="s">
        <v>413</v>
      </c>
      <c r="P69" s="78">
        <v>5</v>
      </c>
      <c r="Q69" s="78">
        <v>3</v>
      </c>
      <c r="R69" s="78">
        <v>5</v>
      </c>
      <c r="S69" s="78">
        <v>5</v>
      </c>
      <c r="T69" s="25" t="s">
        <v>413</v>
      </c>
      <c r="U69" s="25" t="s">
        <v>413</v>
      </c>
      <c r="V69" s="25" t="s">
        <v>413</v>
      </c>
      <c r="W69" s="80" t="s">
        <v>413</v>
      </c>
      <c r="X69" s="25" t="s">
        <v>413</v>
      </c>
      <c r="Y69" s="25" t="s">
        <v>413</v>
      </c>
      <c r="Z69" s="25" t="s">
        <v>413</v>
      </c>
      <c r="AA69" s="25" t="s">
        <v>413</v>
      </c>
      <c r="AB69" s="25" t="s">
        <v>413</v>
      </c>
      <c r="AC69" s="25" t="s">
        <v>413</v>
      </c>
      <c r="AD69" s="25" t="s">
        <v>413</v>
      </c>
      <c r="AE69" s="25" t="s">
        <v>413</v>
      </c>
      <c r="AF69" s="25" t="s">
        <v>413</v>
      </c>
      <c r="AG69" s="25" t="s">
        <v>413</v>
      </c>
    </row>
    <row r="70" spans="1:33" ht="24.95" customHeight="1" x14ac:dyDescent="0.25">
      <c r="A70" s="7">
        <v>68</v>
      </c>
      <c r="B70" s="7" t="s">
        <v>49</v>
      </c>
      <c r="C70" s="7" t="s">
        <v>49</v>
      </c>
      <c r="D70" s="26" t="s">
        <v>345</v>
      </c>
      <c r="E70" s="23">
        <v>5</v>
      </c>
      <c r="F70" s="78">
        <v>5</v>
      </c>
      <c r="G70" s="78">
        <v>2</v>
      </c>
      <c r="H70" s="78">
        <v>5</v>
      </c>
      <c r="I70" s="25">
        <v>1</v>
      </c>
      <c r="J70" s="78">
        <v>5</v>
      </c>
      <c r="K70" s="25">
        <v>3</v>
      </c>
      <c r="L70" s="78">
        <v>5</v>
      </c>
      <c r="M70" s="78">
        <v>5</v>
      </c>
      <c r="N70" s="78">
        <v>5</v>
      </c>
      <c r="O70" s="78">
        <v>4</v>
      </c>
      <c r="P70" s="78">
        <v>5</v>
      </c>
      <c r="Q70" s="78">
        <v>1</v>
      </c>
      <c r="R70" s="78">
        <v>5</v>
      </c>
      <c r="S70" s="79">
        <v>5</v>
      </c>
      <c r="T70" s="25" t="s">
        <v>413</v>
      </c>
      <c r="U70" s="25" t="s">
        <v>413</v>
      </c>
      <c r="V70" s="25" t="s">
        <v>413</v>
      </c>
      <c r="W70" s="80" t="s">
        <v>413</v>
      </c>
      <c r="X70" s="25" t="s">
        <v>413</v>
      </c>
      <c r="Y70" s="25" t="s">
        <v>413</v>
      </c>
      <c r="Z70" s="25" t="s">
        <v>413</v>
      </c>
      <c r="AA70" s="25" t="s">
        <v>413</v>
      </c>
      <c r="AB70" s="25" t="s">
        <v>413</v>
      </c>
      <c r="AC70" s="25" t="s">
        <v>413</v>
      </c>
      <c r="AD70" s="25" t="s">
        <v>413</v>
      </c>
      <c r="AE70" s="25" t="s">
        <v>413</v>
      </c>
      <c r="AF70" s="25" t="s">
        <v>413</v>
      </c>
      <c r="AG70" s="25" t="s">
        <v>413</v>
      </c>
    </row>
    <row r="71" spans="1:33" ht="24.95" customHeight="1" x14ac:dyDescent="0.25">
      <c r="A71" s="7">
        <v>69</v>
      </c>
      <c r="B71" s="7" t="s">
        <v>49</v>
      </c>
      <c r="C71" s="7" t="s">
        <v>49</v>
      </c>
      <c r="D71" s="26" t="s">
        <v>346</v>
      </c>
      <c r="E71" s="23">
        <v>5</v>
      </c>
      <c r="F71" s="78">
        <v>5</v>
      </c>
      <c r="G71" s="78">
        <v>3</v>
      </c>
      <c r="H71" s="78">
        <v>5</v>
      </c>
      <c r="I71" s="79">
        <v>1</v>
      </c>
      <c r="J71" s="78">
        <v>5</v>
      </c>
      <c r="K71" s="79">
        <v>5</v>
      </c>
      <c r="L71" s="78">
        <v>5</v>
      </c>
      <c r="M71" s="78">
        <v>5</v>
      </c>
      <c r="N71" s="78">
        <v>5</v>
      </c>
      <c r="O71" s="78">
        <v>3</v>
      </c>
      <c r="P71" s="78">
        <v>5</v>
      </c>
      <c r="Q71" s="78">
        <v>4</v>
      </c>
      <c r="R71" s="78">
        <v>5</v>
      </c>
      <c r="S71" s="78">
        <v>5</v>
      </c>
      <c r="T71" s="25" t="s">
        <v>413</v>
      </c>
      <c r="U71" s="25" t="s">
        <v>413</v>
      </c>
      <c r="V71" s="25" t="s">
        <v>413</v>
      </c>
      <c r="W71" s="79" t="s">
        <v>413</v>
      </c>
      <c r="X71" s="25" t="s">
        <v>413</v>
      </c>
      <c r="Y71" s="25" t="s">
        <v>413</v>
      </c>
      <c r="Z71" s="25" t="s">
        <v>413</v>
      </c>
      <c r="AA71" s="25" t="s">
        <v>413</v>
      </c>
      <c r="AB71" s="25" t="s">
        <v>413</v>
      </c>
      <c r="AC71" s="25" t="s">
        <v>413</v>
      </c>
      <c r="AD71" s="25" t="s">
        <v>413</v>
      </c>
      <c r="AE71" s="25" t="s">
        <v>413</v>
      </c>
      <c r="AF71" s="25" t="s">
        <v>413</v>
      </c>
      <c r="AG71" s="25" t="s">
        <v>413</v>
      </c>
    </row>
    <row r="72" spans="1:33" ht="24.95" customHeight="1" x14ac:dyDescent="0.25">
      <c r="A72" s="7">
        <v>70</v>
      </c>
      <c r="B72" s="7" t="s">
        <v>49</v>
      </c>
      <c r="C72" s="7" t="s">
        <v>49</v>
      </c>
      <c r="D72" s="26" t="s">
        <v>347</v>
      </c>
      <c r="E72" s="24">
        <v>2</v>
      </c>
      <c r="F72" s="81">
        <v>5</v>
      </c>
      <c r="G72" s="81">
        <v>3</v>
      </c>
      <c r="H72" s="81">
        <v>5</v>
      </c>
      <c r="I72" s="81">
        <v>1</v>
      </c>
      <c r="J72" s="81">
        <v>5</v>
      </c>
      <c r="K72" s="81">
        <v>3</v>
      </c>
      <c r="L72" s="81">
        <v>5</v>
      </c>
      <c r="M72" s="81">
        <v>3</v>
      </c>
      <c r="N72" s="81">
        <v>5</v>
      </c>
      <c r="O72" s="81">
        <v>3</v>
      </c>
      <c r="P72" s="81">
        <v>5</v>
      </c>
      <c r="Q72" s="81">
        <v>3</v>
      </c>
      <c r="R72" s="81">
        <v>5</v>
      </c>
      <c r="S72" s="81">
        <v>3</v>
      </c>
      <c r="T72" s="78" t="s">
        <v>413</v>
      </c>
      <c r="U72" s="81" t="s">
        <v>413</v>
      </c>
      <c r="V72" s="78" t="s">
        <v>413</v>
      </c>
      <c r="W72" s="81" t="s">
        <v>413</v>
      </c>
      <c r="X72" s="78" t="s">
        <v>413</v>
      </c>
      <c r="Y72" s="78" t="s">
        <v>413</v>
      </c>
      <c r="Z72" s="78" t="s">
        <v>413</v>
      </c>
      <c r="AA72" s="78" t="s">
        <v>413</v>
      </c>
      <c r="AB72" s="78">
        <v>5</v>
      </c>
      <c r="AC72" s="78">
        <v>5</v>
      </c>
      <c r="AD72" s="78" t="s">
        <v>413</v>
      </c>
      <c r="AE72" s="78" t="s">
        <v>413</v>
      </c>
      <c r="AF72" s="78" t="s">
        <v>413</v>
      </c>
      <c r="AG72" s="78" t="s">
        <v>413</v>
      </c>
    </row>
    <row r="73" spans="1:33" ht="24.95" customHeight="1" x14ac:dyDescent="0.25">
      <c r="A73" s="7">
        <v>71</v>
      </c>
      <c r="B73" s="7" t="s">
        <v>49</v>
      </c>
      <c r="C73" s="7" t="s">
        <v>49</v>
      </c>
      <c r="D73" s="26" t="s">
        <v>348</v>
      </c>
      <c r="E73" s="25">
        <v>4</v>
      </c>
      <c r="F73" s="78">
        <v>5</v>
      </c>
      <c r="G73" s="78">
        <v>3</v>
      </c>
      <c r="H73" s="78">
        <v>5</v>
      </c>
      <c r="I73" s="25">
        <v>1</v>
      </c>
      <c r="J73" s="78">
        <v>5</v>
      </c>
      <c r="K73" s="81">
        <v>3</v>
      </c>
      <c r="L73" s="78">
        <v>5</v>
      </c>
      <c r="M73" s="78">
        <v>5</v>
      </c>
      <c r="N73" s="78">
        <v>5</v>
      </c>
      <c r="O73" s="79">
        <v>3</v>
      </c>
      <c r="P73" s="78">
        <v>5</v>
      </c>
      <c r="Q73" s="79">
        <v>3</v>
      </c>
      <c r="R73" s="78">
        <v>5</v>
      </c>
      <c r="S73" s="78">
        <v>5</v>
      </c>
      <c r="T73" s="25" t="s">
        <v>413</v>
      </c>
      <c r="U73" s="25" t="s">
        <v>413</v>
      </c>
      <c r="V73" s="25" t="s">
        <v>413</v>
      </c>
      <c r="W73" s="81" t="s">
        <v>413</v>
      </c>
      <c r="X73" s="25" t="s">
        <v>413</v>
      </c>
      <c r="Y73" s="25" t="s">
        <v>413</v>
      </c>
      <c r="Z73" s="25" t="s">
        <v>413</v>
      </c>
      <c r="AA73" s="25" t="s">
        <v>413</v>
      </c>
      <c r="AB73" s="25" t="s">
        <v>413</v>
      </c>
      <c r="AC73" s="25" t="s">
        <v>413</v>
      </c>
      <c r="AD73" s="25" t="s">
        <v>413</v>
      </c>
      <c r="AE73" s="25" t="s">
        <v>413</v>
      </c>
      <c r="AF73" s="25" t="s">
        <v>413</v>
      </c>
      <c r="AG73" s="25" t="s">
        <v>413</v>
      </c>
    </row>
    <row r="74" spans="1:33" ht="24.95" customHeight="1" x14ac:dyDescent="0.25">
      <c r="A74" s="7">
        <v>72</v>
      </c>
      <c r="B74" s="7" t="s">
        <v>49</v>
      </c>
      <c r="C74" s="7" t="s">
        <v>49</v>
      </c>
      <c r="D74" s="26" t="s">
        <v>349</v>
      </c>
      <c r="E74" s="24">
        <v>3</v>
      </c>
      <c r="F74" s="78">
        <v>5</v>
      </c>
      <c r="G74" s="78">
        <v>5</v>
      </c>
      <c r="H74" s="78">
        <v>5</v>
      </c>
      <c r="I74" s="81">
        <v>2</v>
      </c>
      <c r="J74" s="78">
        <v>5</v>
      </c>
      <c r="K74" s="81">
        <v>5</v>
      </c>
      <c r="L74" s="78">
        <v>5</v>
      </c>
      <c r="M74" s="78">
        <v>5</v>
      </c>
      <c r="N74" s="78">
        <v>5</v>
      </c>
      <c r="O74" s="78">
        <v>3</v>
      </c>
      <c r="P74" s="78">
        <v>5</v>
      </c>
      <c r="Q74" s="78">
        <v>5</v>
      </c>
      <c r="R74" s="78">
        <v>5</v>
      </c>
      <c r="S74" s="78">
        <v>5</v>
      </c>
      <c r="T74" s="25" t="s">
        <v>413</v>
      </c>
      <c r="U74" s="81" t="s">
        <v>413</v>
      </c>
      <c r="V74" s="25" t="s">
        <v>413</v>
      </c>
      <c r="W74" s="78" t="s">
        <v>413</v>
      </c>
      <c r="X74" s="25" t="s">
        <v>413</v>
      </c>
      <c r="Y74" s="25" t="s">
        <v>413</v>
      </c>
      <c r="Z74" s="25" t="s">
        <v>413</v>
      </c>
      <c r="AA74" s="25" t="s">
        <v>413</v>
      </c>
      <c r="AB74" s="25" t="s">
        <v>413</v>
      </c>
      <c r="AC74" s="25" t="s">
        <v>413</v>
      </c>
      <c r="AD74" s="25" t="s">
        <v>413</v>
      </c>
      <c r="AE74" s="25" t="s">
        <v>413</v>
      </c>
      <c r="AF74" s="25" t="s">
        <v>413</v>
      </c>
      <c r="AG74" s="25" t="s">
        <v>413</v>
      </c>
    </row>
    <row r="75" spans="1:33" ht="24.95" customHeight="1" x14ac:dyDescent="0.25">
      <c r="A75" s="7">
        <v>73</v>
      </c>
      <c r="B75" s="7" t="s">
        <v>49</v>
      </c>
      <c r="C75" s="27" t="s">
        <v>168</v>
      </c>
      <c r="D75" s="28" t="s">
        <v>169</v>
      </c>
      <c r="E75" s="24">
        <v>2</v>
      </c>
      <c r="F75" s="81" t="s">
        <v>413</v>
      </c>
      <c r="G75" s="81" t="s">
        <v>413</v>
      </c>
      <c r="H75" s="81" t="s">
        <v>413</v>
      </c>
      <c r="I75" s="81" t="s">
        <v>413</v>
      </c>
      <c r="J75" s="81" t="s">
        <v>413</v>
      </c>
      <c r="K75" s="81" t="s">
        <v>413</v>
      </c>
      <c r="L75" s="81" t="s">
        <v>413</v>
      </c>
      <c r="M75" s="81" t="s">
        <v>413</v>
      </c>
      <c r="N75" s="81" t="s">
        <v>413</v>
      </c>
      <c r="O75" s="81" t="s">
        <v>413</v>
      </c>
      <c r="P75" s="81" t="s">
        <v>413</v>
      </c>
      <c r="Q75" s="81" t="s">
        <v>413</v>
      </c>
      <c r="R75" s="79" t="s">
        <v>413</v>
      </c>
      <c r="S75" s="79" t="s">
        <v>413</v>
      </c>
      <c r="T75" s="79">
        <v>5</v>
      </c>
      <c r="U75" s="79">
        <v>3</v>
      </c>
      <c r="V75" s="79">
        <v>5</v>
      </c>
      <c r="W75" s="78">
        <v>5</v>
      </c>
      <c r="X75" s="79">
        <v>5</v>
      </c>
      <c r="Y75" s="79">
        <v>3</v>
      </c>
      <c r="Z75" s="79">
        <v>5</v>
      </c>
      <c r="AA75" s="79">
        <v>5</v>
      </c>
      <c r="AB75" s="79">
        <v>5</v>
      </c>
      <c r="AC75" s="79">
        <v>5</v>
      </c>
      <c r="AD75" s="79">
        <v>5</v>
      </c>
      <c r="AE75" s="79">
        <v>5</v>
      </c>
      <c r="AF75" s="79">
        <v>5</v>
      </c>
      <c r="AG75" s="79">
        <v>3</v>
      </c>
    </row>
    <row r="76" spans="1:33" ht="24.95" customHeight="1" x14ac:dyDescent="0.25">
      <c r="A76" s="7">
        <v>74</v>
      </c>
      <c r="B76" s="7" t="s">
        <v>49</v>
      </c>
      <c r="C76" s="27" t="s">
        <v>170</v>
      </c>
      <c r="D76" s="28" t="s">
        <v>171</v>
      </c>
      <c r="E76" s="24">
        <v>2</v>
      </c>
      <c r="F76" s="81" t="s">
        <v>413</v>
      </c>
      <c r="G76" s="81" t="s">
        <v>413</v>
      </c>
      <c r="H76" s="81" t="s">
        <v>413</v>
      </c>
      <c r="I76" s="81" t="s">
        <v>413</v>
      </c>
      <c r="J76" s="81" t="s">
        <v>413</v>
      </c>
      <c r="K76" s="81" t="s">
        <v>413</v>
      </c>
      <c r="L76" s="81" t="s">
        <v>413</v>
      </c>
      <c r="M76" s="81" t="s">
        <v>413</v>
      </c>
      <c r="N76" s="81" t="s">
        <v>413</v>
      </c>
      <c r="O76" s="81" t="s">
        <v>413</v>
      </c>
      <c r="P76" s="81" t="s">
        <v>413</v>
      </c>
      <c r="Q76" s="81" t="s">
        <v>413</v>
      </c>
      <c r="R76" s="79" t="s">
        <v>413</v>
      </c>
      <c r="S76" s="79" t="s">
        <v>413</v>
      </c>
      <c r="T76" s="79">
        <v>5</v>
      </c>
      <c r="U76" s="79">
        <v>5</v>
      </c>
      <c r="V76" s="79">
        <v>5</v>
      </c>
      <c r="W76" s="78">
        <v>5</v>
      </c>
      <c r="X76" s="79">
        <v>5</v>
      </c>
      <c r="Y76" s="79">
        <v>5</v>
      </c>
      <c r="Z76" s="79">
        <v>5</v>
      </c>
      <c r="AA76" s="79">
        <v>5</v>
      </c>
      <c r="AB76" s="79">
        <v>5</v>
      </c>
      <c r="AC76" s="79">
        <v>5</v>
      </c>
      <c r="AD76" s="79">
        <v>5</v>
      </c>
      <c r="AE76" s="79">
        <v>5</v>
      </c>
      <c r="AF76" s="79">
        <v>5</v>
      </c>
      <c r="AG76" s="79">
        <v>5</v>
      </c>
    </row>
    <row r="77" spans="1:33" ht="24.95" customHeight="1" x14ac:dyDescent="0.25">
      <c r="A77" s="7">
        <v>75</v>
      </c>
      <c r="B77" s="7" t="s">
        <v>49</v>
      </c>
      <c r="C77" s="27" t="s">
        <v>172</v>
      </c>
      <c r="D77" s="28" t="s">
        <v>173</v>
      </c>
      <c r="E77" s="24">
        <v>2</v>
      </c>
      <c r="F77" s="81" t="s">
        <v>413</v>
      </c>
      <c r="G77" s="81" t="s">
        <v>413</v>
      </c>
      <c r="H77" s="81" t="s">
        <v>413</v>
      </c>
      <c r="I77" s="81" t="s">
        <v>413</v>
      </c>
      <c r="J77" s="81" t="s">
        <v>413</v>
      </c>
      <c r="K77" s="81" t="s">
        <v>413</v>
      </c>
      <c r="L77" s="81" t="s">
        <v>413</v>
      </c>
      <c r="M77" s="81" t="s">
        <v>413</v>
      </c>
      <c r="N77" s="81" t="s">
        <v>413</v>
      </c>
      <c r="O77" s="81" t="s">
        <v>413</v>
      </c>
      <c r="P77" s="81" t="s">
        <v>413</v>
      </c>
      <c r="Q77" s="81" t="s">
        <v>413</v>
      </c>
      <c r="R77" s="79" t="s">
        <v>413</v>
      </c>
      <c r="S77" s="79" t="s">
        <v>413</v>
      </c>
      <c r="T77" s="79">
        <v>5</v>
      </c>
      <c r="U77" s="79">
        <v>5</v>
      </c>
      <c r="V77" s="79">
        <v>5</v>
      </c>
      <c r="W77" s="78">
        <v>5</v>
      </c>
      <c r="X77" s="79">
        <v>5</v>
      </c>
      <c r="Y77" s="79">
        <v>5</v>
      </c>
      <c r="Z77" s="79">
        <v>5</v>
      </c>
      <c r="AA77" s="79">
        <v>5</v>
      </c>
      <c r="AB77" s="79">
        <v>5</v>
      </c>
      <c r="AC77" s="79">
        <v>5</v>
      </c>
      <c r="AD77" s="79">
        <v>5</v>
      </c>
      <c r="AE77" s="79">
        <v>5</v>
      </c>
      <c r="AF77" s="79">
        <v>5</v>
      </c>
      <c r="AG77" s="79">
        <v>5</v>
      </c>
    </row>
    <row r="78" spans="1:33" ht="24.95" customHeight="1" x14ac:dyDescent="0.25">
      <c r="A78" s="7">
        <v>76</v>
      </c>
      <c r="B78" s="7" t="s">
        <v>49</v>
      </c>
      <c r="C78" s="27" t="s">
        <v>81</v>
      </c>
      <c r="D78" s="28" t="s">
        <v>82</v>
      </c>
      <c r="E78" s="31">
        <v>4</v>
      </c>
      <c r="F78" s="80" t="s">
        <v>413</v>
      </c>
      <c r="G78" s="80" t="s">
        <v>413</v>
      </c>
      <c r="H78" s="80" t="s">
        <v>413</v>
      </c>
      <c r="I78" s="80" t="s">
        <v>413</v>
      </c>
      <c r="J78" s="80" t="s">
        <v>413</v>
      </c>
      <c r="K78" s="80" t="s">
        <v>413</v>
      </c>
      <c r="L78" s="80" t="s">
        <v>413</v>
      </c>
      <c r="M78" s="80" t="s">
        <v>413</v>
      </c>
      <c r="N78" s="80" t="s">
        <v>413</v>
      </c>
      <c r="O78" s="80" t="s">
        <v>413</v>
      </c>
      <c r="P78" s="80" t="s">
        <v>413</v>
      </c>
      <c r="Q78" s="80" t="s">
        <v>413</v>
      </c>
      <c r="R78" s="79" t="s">
        <v>413</v>
      </c>
      <c r="S78" s="79" t="s">
        <v>413</v>
      </c>
      <c r="T78" s="79">
        <v>5</v>
      </c>
      <c r="U78" s="79">
        <v>5</v>
      </c>
      <c r="V78" s="79">
        <v>5</v>
      </c>
      <c r="W78" s="78">
        <v>5</v>
      </c>
      <c r="X78" s="79">
        <v>5</v>
      </c>
      <c r="Y78" s="79">
        <v>5</v>
      </c>
      <c r="Z78" s="79">
        <v>5</v>
      </c>
      <c r="AA78" s="79">
        <v>5</v>
      </c>
      <c r="AB78" s="79">
        <v>5</v>
      </c>
      <c r="AC78" s="81">
        <v>3</v>
      </c>
      <c r="AD78" s="79">
        <v>5</v>
      </c>
      <c r="AE78" s="81">
        <v>3</v>
      </c>
      <c r="AF78" s="79">
        <v>5</v>
      </c>
      <c r="AG78" s="81">
        <v>5</v>
      </c>
    </row>
    <row r="79" spans="1:33" ht="24.95" customHeight="1" x14ac:dyDescent="0.25">
      <c r="A79" s="7">
        <v>77</v>
      </c>
      <c r="B79" s="7" t="s">
        <v>49</v>
      </c>
      <c r="C79" s="27" t="s">
        <v>174</v>
      </c>
      <c r="D79" s="28" t="s">
        <v>175</v>
      </c>
      <c r="E79" s="25">
        <v>4</v>
      </c>
      <c r="F79" s="80" t="s">
        <v>413</v>
      </c>
      <c r="G79" s="80" t="s">
        <v>413</v>
      </c>
      <c r="H79" s="80" t="s">
        <v>413</v>
      </c>
      <c r="I79" s="80" t="s">
        <v>413</v>
      </c>
      <c r="J79" s="80" t="s">
        <v>413</v>
      </c>
      <c r="K79" s="80" t="s">
        <v>413</v>
      </c>
      <c r="L79" s="80" t="s">
        <v>413</v>
      </c>
      <c r="M79" s="80" t="s">
        <v>413</v>
      </c>
      <c r="N79" s="80" t="s">
        <v>413</v>
      </c>
      <c r="O79" s="78" t="s">
        <v>413</v>
      </c>
      <c r="P79" s="78" t="s">
        <v>413</v>
      </c>
      <c r="Q79" s="78" t="s">
        <v>413</v>
      </c>
      <c r="R79" s="79" t="s">
        <v>413</v>
      </c>
      <c r="S79" s="79" t="s">
        <v>413</v>
      </c>
      <c r="T79" s="79">
        <v>5</v>
      </c>
      <c r="U79" s="79">
        <v>5</v>
      </c>
      <c r="V79" s="79">
        <v>5</v>
      </c>
      <c r="W79" s="78">
        <v>5</v>
      </c>
      <c r="X79" s="79">
        <v>5</v>
      </c>
      <c r="Y79" s="79">
        <v>5</v>
      </c>
      <c r="Z79" s="79">
        <v>5</v>
      </c>
      <c r="AA79" s="79">
        <v>5</v>
      </c>
      <c r="AB79" s="79">
        <v>5</v>
      </c>
      <c r="AC79" s="81">
        <v>5</v>
      </c>
      <c r="AD79" s="79">
        <v>5</v>
      </c>
      <c r="AE79" s="81">
        <v>3</v>
      </c>
      <c r="AF79" s="79">
        <v>5</v>
      </c>
      <c r="AG79" s="81">
        <v>3</v>
      </c>
    </row>
    <row r="80" spans="1:33" ht="24.95" customHeight="1" x14ac:dyDescent="0.25">
      <c r="A80" s="7">
        <v>78</v>
      </c>
      <c r="B80" s="7" t="s">
        <v>49</v>
      </c>
      <c r="C80" s="27" t="s">
        <v>176</v>
      </c>
      <c r="D80" s="28" t="s">
        <v>177</v>
      </c>
      <c r="E80" s="25">
        <v>4</v>
      </c>
      <c r="F80" s="80" t="s">
        <v>413</v>
      </c>
      <c r="G80" s="80" t="s">
        <v>413</v>
      </c>
      <c r="H80" s="80" t="s">
        <v>413</v>
      </c>
      <c r="I80" s="80" t="s">
        <v>413</v>
      </c>
      <c r="J80" s="80" t="s">
        <v>413</v>
      </c>
      <c r="K80" s="80" t="s">
        <v>413</v>
      </c>
      <c r="L80" s="80" t="s">
        <v>413</v>
      </c>
      <c r="M80" s="80" t="s">
        <v>413</v>
      </c>
      <c r="N80" s="80" t="s">
        <v>413</v>
      </c>
      <c r="O80" s="78" t="s">
        <v>413</v>
      </c>
      <c r="P80" s="78" t="s">
        <v>413</v>
      </c>
      <c r="Q80" s="78" t="s">
        <v>413</v>
      </c>
      <c r="R80" s="79" t="s">
        <v>413</v>
      </c>
      <c r="S80" s="79" t="s">
        <v>413</v>
      </c>
      <c r="T80" s="79">
        <v>5</v>
      </c>
      <c r="U80" s="79">
        <v>5</v>
      </c>
      <c r="V80" s="79">
        <v>5</v>
      </c>
      <c r="W80" s="78">
        <v>5</v>
      </c>
      <c r="X80" s="79">
        <v>5</v>
      </c>
      <c r="Y80" s="79">
        <v>5</v>
      </c>
      <c r="Z80" s="79">
        <v>5</v>
      </c>
      <c r="AA80" s="79">
        <v>5</v>
      </c>
      <c r="AB80" s="79">
        <v>5</v>
      </c>
      <c r="AC80" s="81">
        <v>5</v>
      </c>
      <c r="AD80" s="79">
        <v>5</v>
      </c>
      <c r="AE80" s="81">
        <v>3</v>
      </c>
      <c r="AF80" s="79">
        <v>5</v>
      </c>
      <c r="AG80" s="81">
        <v>5</v>
      </c>
    </row>
    <row r="81" spans="1:33" ht="24.95" customHeight="1" x14ac:dyDescent="0.25">
      <c r="A81" s="7">
        <v>79</v>
      </c>
      <c r="B81" s="7" t="s">
        <v>49</v>
      </c>
      <c r="C81" s="27" t="s">
        <v>78</v>
      </c>
      <c r="D81" s="28" t="s">
        <v>36</v>
      </c>
      <c r="E81" s="31">
        <v>4</v>
      </c>
      <c r="F81" s="81" t="s">
        <v>413</v>
      </c>
      <c r="G81" s="81" t="s">
        <v>413</v>
      </c>
      <c r="H81" s="81" t="s">
        <v>413</v>
      </c>
      <c r="I81" s="81" t="s">
        <v>413</v>
      </c>
      <c r="J81" s="81" t="s">
        <v>413</v>
      </c>
      <c r="K81" s="81" t="s">
        <v>413</v>
      </c>
      <c r="L81" s="81" t="s">
        <v>413</v>
      </c>
      <c r="M81" s="81" t="s">
        <v>413</v>
      </c>
      <c r="N81" s="81" t="s">
        <v>413</v>
      </c>
      <c r="O81" s="81" t="s">
        <v>413</v>
      </c>
      <c r="P81" s="81" t="s">
        <v>413</v>
      </c>
      <c r="Q81" s="81" t="s">
        <v>413</v>
      </c>
      <c r="R81" s="79" t="s">
        <v>413</v>
      </c>
      <c r="S81" s="79" t="s">
        <v>413</v>
      </c>
      <c r="T81" s="79">
        <v>5</v>
      </c>
      <c r="U81" s="79">
        <v>5</v>
      </c>
      <c r="V81" s="79">
        <v>5</v>
      </c>
      <c r="W81" s="78">
        <v>5</v>
      </c>
      <c r="X81" s="79">
        <v>5</v>
      </c>
      <c r="Y81" s="79">
        <v>3</v>
      </c>
      <c r="Z81" s="79">
        <v>5</v>
      </c>
      <c r="AA81" s="79">
        <v>3</v>
      </c>
      <c r="AB81" s="79">
        <v>5</v>
      </c>
      <c r="AC81" s="81">
        <v>2</v>
      </c>
      <c r="AD81" s="79">
        <v>5</v>
      </c>
      <c r="AE81" s="81">
        <v>2</v>
      </c>
      <c r="AF81" s="79">
        <v>5</v>
      </c>
      <c r="AG81" s="81">
        <v>2</v>
      </c>
    </row>
    <row r="82" spans="1:33" ht="24.95" customHeight="1" x14ac:dyDescent="0.25">
      <c r="A82" s="7">
        <v>80</v>
      </c>
      <c r="B82" s="7" t="s">
        <v>49</v>
      </c>
      <c r="C82" s="27" t="s">
        <v>70</v>
      </c>
      <c r="D82" s="28" t="s">
        <v>71</v>
      </c>
      <c r="E82" s="31">
        <v>4</v>
      </c>
      <c r="F82" s="81" t="s">
        <v>413</v>
      </c>
      <c r="G82" s="81" t="s">
        <v>413</v>
      </c>
      <c r="H82" s="81" t="s">
        <v>413</v>
      </c>
      <c r="I82" s="81" t="s">
        <v>413</v>
      </c>
      <c r="J82" s="81" t="s">
        <v>413</v>
      </c>
      <c r="K82" s="81" t="s">
        <v>413</v>
      </c>
      <c r="L82" s="81" t="s">
        <v>413</v>
      </c>
      <c r="M82" s="81" t="s">
        <v>413</v>
      </c>
      <c r="N82" s="81" t="s">
        <v>413</v>
      </c>
      <c r="O82" s="81" t="s">
        <v>413</v>
      </c>
      <c r="P82" s="81" t="s">
        <v>413</v>
      </c>
      <c r="Q82" s="81" t="s">
        <v>413</v>
      </c>
      <c r="R82" s="79" t="s">
        <v>413</v>
      </c>
      <c r="S82" s="79" t="s">
        <v>413</v>
      </c>
      <c r="T82" s="79">
        <v>5</v>
      </c>
      <c r="U82" s="79">
        <v>5</v>
      </c>
      <c r="V82" s="79">
        <v>5</v>
      </c>
      <c r="W82" s="78">
        <v>5</v>
      </c>
      <c r="X82" s="79">
        <v>5</v>
      </c>
      <c r="Y82" s="79">
        <v>3</v>
      </c>
      <c r="Z82" s="79">
        <v>5</v>
      </c>
      <c r="AA82" s="79">
        <v>3</v>
      </c>
      <c r="AB82" s="79">
        <v>5</v>
      </c>
      <c r="AC82" s="81">
        <v>2</v>
      </c>
      <c r="AD82" s="79">
        <v>5</v>
      </c>
      <c r="AE82" s="81">
        <v>2</v>
      </c>
      <c r="AF82" s="79">
        <v>5</v>
      </c>
      <c r="AG82" s="81">
        <v>2</v>
      </c>
    </row>
    <row r="83" spans="1:33" ht="24.95" customHeight="1" x14ac:dyDescent="0.25">
      <c r="A83" s="7">
        <v>81</v>
      </c>
      <c r="B83" s="7" t="s">
        <v>49</v>
      </c>
      <c r="C83" s="27" t="s">
        <v>74</v>
      </c>
      <c r="D83" s="28" t="s">
        <v>75</v>
      </c>
      <c r="E83" s="25">
        <v>3</v>
      </c>
      <c r="F83" s="80" t="s">
        <v>413</v>
      </c>
      <c r="G83" s="80" t="s">
        <v>413</v>
      </c>
      <c r="H83" s="80" t="s">
        <v>413</v>
      </c>
      <c r="I83" s="80" t="s">
        <v>413</v>
      </c>
      <c r="J83" s="80" t="s">
        <v>413</v>
      </c>
      <c r="K83" s="80" t="s">
        <v>413</v>
      </c>
      <c r="L83" s="80" t="s">
        <v>413</v>
      </c>
      <c r="M83" s="80" t="s">
        <v>413</v>
      </c>
      <c r="N83" s="80" t="s">
        <v>413</v>
      </c>
      <c r="O83" s="80" t="s">
        <v>413</v>
      </c>
      <c r="P83" s="80" t="s">
        <v>413</v>
      </c>
      <c r="Q83" s="80" t="s">
        <v>413</v>
      </c>
      <c r="R83" s="79" t="s">
        <v>413</v>
      </c>
      <c r="S83" s="79" t="s">
        <v>413</v>
      </c>
      <c r="T83" s="79">
        <v>5</v>
      </c>
      <c r="U83" s="79">
        <v>5</v>
      </c>
      <c r="V83" s="79">
        <v>5</v>
      </c>
      <c r="W83" s="78">
        <v>5</v>
      </c>
      <c r="X83" s="79">
        <v>5</v>
      </c>
      <c r="Y83" s="79">
        <v>5</v>
      </c>
      <c r="Z83" s="79">
        <v>5</v>
      </c>
      <c r="AA83" s="79">
        <v>5</v>
      </c>
      <c r="AB83" s="79">
        <v>5</v>
      </c>
      <c r="AC83" s="81">
        <v>3</v>
      </c>
      <c r="AD83" s="79">
        <v>5</v>
      </c>
      <c r="AE83" s="81">
        <v>3</v>
      </c>
      <c r="AF83" s="79">
        <v>5</v>
      </c>
      <c r="AG83" s="81">
        <v>5</v>
      </c>
    </row>
    <row r="84" spans="1:33" ht="24.95" customHeight="1" x14ac:dyDescent="0.25">
      <c r="A84" s="7">
        <v>82</v>
      </c>
      <c r="B84" s="7" t="s">
        <v>49</v>
      </c>
      <c r="C84" s="27" t="s">
        <v>83</v>
      </c>
      <c r="D84" s="28" t="s">
        <v>84</v>
      </c>
      <c r="E84" s="24">
        <v>2</v>
      </c>
      <c r="F84" s="81" t="s">
        <v>413</v>
      </c>
      <c r="G84" s="81" t="s">
        <v>413</v>
      </c>
      <c r="H84" s="81" t="s">
        <v>413</v>
      </c>
      <c r="I84" s="81" t="s">
        <v>413</v>
      </c>
      <c r="J84" s="81" t="s">
        <v>413</v>
      </c>
      <c r="K84" s="81" t="s">
        <v>413</v>
      </c>
      <c r="L84" s="81" t="s">
        <v>413</v>
      </c>
      <c r="M84" s="81" t="s">
        <v>413</v>
      </c>
      <c r="N84" s="81" t="s">
        <v>413</v>
      </c>
      <c r="O84" s="81" t="s">
        <v>413</v>
      </c>
      <c r="P84" s="81" t="s">
        <v>413</v>
      </c>
      <c r="Q84" s="81" t="s">
        <v>413</v>
      </c>
      <c r="R84" s="79" t="s">
        <v>413</v>
      </c>
      <c r="S84" s="79" t="s">
        <v>413</v>
      </c>
      <c r="T84" s="79">
        <v>5</v>
      </c>
      <c r="U84" s="79">
        <v>5</v>
      </c>
      <c r="V84" s="79">
        <v>5</v>
      </c>
      <c r="W84" s="78">
        <v>5</v>
      </c>
      <c r="X84" s="79">
        <v>5</v>
      </c>
      <c r="Y84" s="79">
        <v>5</v>
      </c>
      <c r="Z84" s="79">
        <v>5</v>
      </c>
      <c r="AA84" s="79">
        <v>5</v>
      </c>
      <c r="AB84" s="79">
        <v>5</v>
      </c>
      <c r="AC84" s="79">
        <v>5</v>
      </c>
      <c r="AD84" s="79">
        <v>5</v>
      </c>
      <c r="AE84" s="79">
        <v>5</v>
      </c>
      <c r="AF84" s="79">
        <v>5</v>
      </c>
      <c r="AG84" s="79">
        <v>5</v>
      </c>
    </row>
    <row r="85" spans="1:33" ht="24.95" customHeight="1" x14ac:dyDescent="0.25">
      <c r="A85" s="7">
        <v>83</v>
      </c>
      <c r="B85" s="7" t="s">
        <v>49</v>
      </c>
      <c r="C85" s="27" t="s">
        <v>85</v>
      </c>
      <c r="D85" s="28" t="s">
        <v>86</v>
      </c>
      <c r="E85" s="24">
        <v>2</v>
      </c>
      <c r="F85" s="81" t="s">
        <v>413</v>
      </c>
      <c r="G85" s="81" t="s">
        <v>413</v>
      </c>
      <c r="H85" s="81" t="s">
        <v>413</v>
      </c>
      <c r="I85" s="81" t="s">
        <v>413</v>
      </c>
      <c r="J85" s="81" t="s">
        <v>413</v>
      </c>
      <c r="K85" s="81" t="s">
        <v>413</v>
      </c>
      <c r="L85" s="81" t="s">
        <v>413</v>
      </c>
      <c r="M85" s="81" t="s">
        <v>413</v>
      </c>
      <c r="N85" s="81" t="s">
        <v>413</v>
      </c>
      <c r="O85" s="81" t="s">
        <v>413</v>
      </c>
      <c r="P85" s="81" t="s">
        <v>413</v>
      </c>
      <c r="Q85" s="81" t="s">
        <v>413</v>
      </c>
      <c r="R85" s="79" t="s">
        <v>413</v>
      </c>
      <c r="S85" s="79" t="s">
        <v>413</v>
      </c>
      <c r="T85" s="79">
        <v>5</v>
      </c>
      <c r="U85" s="79">
        <v>5</v>
      </c>
      <c r="V85" s="79">
        <v>5</v>
      </c>
      <c r="W85" s="78">
        <v>5</v>
      </c>
      <c r="X85" s="79">
        <v>5</v>
      </c>
      <c r="Y85" s="79">
        <v>5</v>
      </c>
      <c r="Z85" s="79">
        <v>5</v>
      </c>
      <c r="AA85" s="79">
        <v>5</v>
      </c>
      <c r="AB85" s="79">
        <v>5</v>
      </c>
      <c r="AC85" s="79">
        <v>5</v>
      </c>
      <c r="AD85" s="79">
        <v>5</v>
      </c>
      <c r="AE85" s="79">
        <v>5</v>
      </c>
      <c r="AF85" s="79">
        <v>5</v>
      </c>
      <c r="AG85" s="79">
        <v>5</v>
      </c>
    </row>
    <row r="86" spans="1:33" ht="24.95" customHeight="1" x14ac:dyDescent="0.25">
      <c r="A86" s="7">
        <v>84</v>
      </c>
      <c r="B86" s="7" t="s">
        <v>49</v>
      </c>
      <c r="C86" s="27" t="s">
        <v>178</v>
      </c>
      <c r="D86" s="28" t="s">
        <v>179</v>
      </c>
      <c r="E86" s="23">
        <v>5</v>
      </c>
      <c r="F86" s="80" t="s">
        <v>413</v>
      </c>
      <c r="G86" s="80" t="s">
        <v>413</v>
      </c>
      <c r="H86" s="25" t="s">
        <v>413</v>
      </c>
      <c r="I86" s="25" t="s">
        <v>413</v>
      </c>
      <c r="J86" s="25" t="s">
        <v>413</v>
      </c>
      <c r="K86" s="25" t="s">
        <v>413</v>
      </c>
      <c r="L86" s="25" t="s">
        <v>413</v>
      </c>
      <c r="M86" s="80" t="s">
        <v>413</v>
      </c>
      <c r="N86" s="80" t="s">
        <v>413</v>
      </c>
      <c r="O86" s="80" t="s">
        <v>413</v>
      </c>
      <c r="P86" s="80" t="s">
        <v>413</v>
      </c>
      <c r="Q86" s="80" t="s">
        <v>413</v>
      </c>
      <c r="R86" s="81" t="s">
        <v>413</v>
      </c>
      <c r="S86" s="81" t="s">
        <v>413</v>
      </c>
      <c r="T86" s="79">
        <v>5</v>
      </c>
      <c r="U86" s="81">
        <v>3</v>
      </c>
      <c r="V86" s="79">
        <v>5</v>
      </c>
      <c r="W86" s="78">
        <v>5</v>
      </c>
      <c r="X86" s="79">
        <v>5</v>
      </c>
      <c r="Y86" s="79">
        <v>3</v>
      </c>
      <c r="Z86" s="79">
        <v>5</v>
      </c>
      <c r="AA86" s="79">
        <v>5</v>
      </c>
      <c r="AB86" s="79">
        <v>5</v>
      </c>
      <c r="AC86" s="81">
        <v>2</v>
      </c>
      <c r="AD86" s="79">
        <v>5</v>
      </c>
      <c r="AE86" s="81">
        <v>2</v>
      </c>
      <c r="AF86" s="79">
        <v>5</v>
      </c>
      <c r="AG86" s="81">
        <v>2</v>
      </c>
    </row>
    <row r="87" spans="1:33" ht="24.95" customHeight="1" x14ac:dyDescent="0.25">
      <c r="A87" s="7">
        <v>85</v>
      </c>
      <c r="B87" s="7" t="s">
        <v>49</v>
      </c>
      <c r="C87" s="27" t="s">
        <v>111</v>
      </c>
      <c r="D87" s="28" t="s">
        <v>112</v>
      </c>
      <c r="E87" s="23">
        <v>5</v>
      </c>
      <c r="F87" s="25" t="s">
        <v>413</v>
      </c>
      <c r="G87" s="25" t="s">
        <v>413</v>
      </c>
      <c r="H87" s="25" t="s">
        <v>413</v>
      </c>
      <c r="I87" s="25" t="s">
        <v>413</v>
      </c>
      <c r="J87" s="25" t="s">
        <v>413</v>
      </c>
      <c r="K87" s="25" t="s">
        <v>413</v>
      </c>
      <c r="L87" s="25" t="s">
        <v>413</v>
      </c>
      <c r="M87" s="25" t="s">
        <v>413</v>
      </c>
      <c r="N87" s="25" t="s">
        <v>413</v>
      </c>
      <c r="O87" s="25" t="s">
        <v>413</v>
      </c>
      <c r="P87" s="25" t="s">
        <v>413</v>
      </c>
      <c r="Q87" s="25" t="s">
        <v>413</v>
      </c>
      <c r="R87" s="25" t="s">
        <v>413</v>
      </c>
      <c r="S87" s="25" t="s">
        <v>413</v>
      </c>
      <c r="T87" s="79">
        <v>5</v>
      </c>
      <c r="U87" s="25">
        <v>1</v>
      </c>
      <c r="V87" s="79">
        <v>5</v>
      </c>
      <c r="W87" s="78">
        <v>5</v>
      </c>
      <c r="X87" s="79">
        <v>5</v>
      </c>
      <c r="Y87" s="79">
        <v>5</v>
      </c>
      <c r="Z87" s="79">
        <v>5</v>
      </c>
      <c r="AA87" s="25">
        <v>1</v>
      </c>
      <c r="AB87" s="79">
        <v>5</v>
      </c>
      <c r="AC87" s="25">
        <v>1</v>
      </c>
      <c r="AD87" s="79">
        <v>5</v>
      </c>
      <c r="AE87" s="25">
        <v>1</v>
      </c>
      <c r="AF87" s="79">
        <v>5</v>
      </c>
      <c r="AG87" s="25">
        <v>3</v>
      </c>
    </row>
    <row r="88" spans="1:33" ht="24.95" customHeight="1" x14ac:dyDescent="0.25">
      <c r="A88" s="7">
        <v>86</v>
      </c>
      <c r="B88" s="7" t="s">
        <v>49</v>
      </c>
      <c r="C88" s="27" t="s">
        <v>87</v>
      </c>
      <c r="D88" s="28" t="s">
        <v>88</v>
      </c>
      <c r="E88" s="23">
        <v>5</v>
      </c>
      <c r="F88" s="25" t="s">
        <v>413</v>
      </c>
      <c r="G88" s="25" t="s">
        <v>413</v>
      </c>
      <c r="H88" s="25" t="s">
        <v>413</v>
      </c>
      <c r="I88" s="25" t="s">
        <v>413</v>
      </c>
      <c r="J88" s="25" t="s">
        <v>413</v>
      </c>
      <c r="K88" s="25" t="s">
        <v>413</v>
      </c>
      <c r="L88" s="25" t="s">
        <v>413</v>
      </c>
      <c r="M88" s="25" t="s">
        <v>413</v>
      </c>
      <c r="N88" s="25" t="s">
        <v>413</v>
      </c>
      <c r="O88" s="25" t="s">
        <v>413</v>
      </c>
      <c r="P88" s="25" t="s">
        <v>413</v>
      </c>
      <c r="Q88" s="25" t="s">
        <v>413</v>
      </c>
      <c r="R88" s="25" t="s">
        <v>413</v>
      </c>
      <c r="S88" s="78" t="s">
        <v>413</v>
      </c>
      <c r="T88" s="79">
        <v>5</v>
      </c>
      <c r="U88" s="25">
        <v>1</v>
      </c>
      <c r="V88" s="79">
        <v>5</v>
      </c>
      <c r="W88" s="78">
        <v>5</v>
      </c>
      <c r="X88" s="79">
        <v>5</v>
      </c>
      <c r="Y88" s="79">
        <v>1</v>
      </c>
      <c r="Z88" s="79">
        <v>5</v>
      </c>
      <c r="AA88" s="25">
        <v>1</v>
      </c>
      <c r="AB88" s="79">
        <v>5</v>
      </c>
      <c r="AC88" s="25">
        <v>1</v>
      </c>
      <c r="AD88" s="79">
        <v>5</v>
      </c>
      <c r="AE88" s="79">
        <v>5</v>
      </c>
      <c r="AF88" s="79">
        <v>5</v>
      </c>
      <c r="AG88" s="79">
        <v>1</v>
      </c>
    </row>
    <row r="89" spans="1:33" ht="24.95" customHeight="1" x14ac:dyDescent="0.25">
      <c r="A89" s="7">
        <v>87</v>
      </c>
      <c r="B89" s="7" t="s">
        <v>49</v>
      </c>
      <c r="C89" s="27" t="s">
        <v>180</v>
      </c>
      <c r="D89" s="28" t="s">
        <v>181</v>
      </c>
      <c r="E89" s="23">
        <v>1</v>
      </c>
      <c r="F89" s="25" t="s">
        <v>413</v>
      </c>
      <c r="G89" s="25" t="s">
        <v>413</v>
      </c>
      <c r="H89" s="25" t="s">
        <v>413</v>
      </c>
      <c r="I89" s="25" t="s">
        <v>413</v>
      </c>
      <c r="J89" s="25" t="s">
        <v>413</v>
      </c>
      <c r="K89" s="25" t="s">
        <v>413</v>
      </c>
      <c r="L89" s="25" t="s">
        <v>413</v>
      </c>
      <c r="M89" s="25" t="s">
        <v>413</v>
      </c>
      <c r="N89" s="25" t="s">
        <v>413</v>
      </c>
      <c r="O89" s="25" t="s">
        <v>413</v>
      </c>
      <c r="P89" s="25" t="s">
        <v>413</v>
      </c>
      <c r="Q89" s="25" t="s">
        <v>413</v>
      </c>
      <c r="R89" s="25" t="s">
        <v>413</v>
      </c>
      <c r="S89" s="25" t="s">
        <v>413</v>
      </c>
      <c r="T89" s="79">
        <v>5</v>
      </c>
      <c r="U89" s="25">
        <v>1</v>
      </c>
      <c r="V89" s="79">
        <v>5</v>
      </c>
      <c r="W89" s="78">
        <v>5</v>
      </c>
      <c r="X89" s="79">
        <v>5</v>
      </c>
      <c r="Y89" s="79">
        <v>1</v>
      </c>
      <c r="Z89" s="79">
        <v>5</v>
      </c>
      <c r="AA89" s="78">
        <v>5</v>
      </c>
      <c r="AB89" s="79">
        <v>5</v>
      </c>
      <c r="AC89" s="25">
        <v>1</v>
      </c>
      <c r="AD89" s="79">
        <v>5</v>
      </c>
      <c r="AE89" s="25">
        <v>5</v>
      </c>
      <c r="AF89" s="79">
        <v>5</v>
      </c>
      <c r="AG89" s="25">
        <v>1</v>
      </c>
    </row>
    <row r="90" spans="1:33" ht="24.95" customHeight="1" x14ac:dyDescent="0.25">
      <c r="A90" s="7">
        <v>88</v>
      </c>
      <c r="B90" s="7" t="s">
        <v>49</v>
      </c>
      <c r="C90" s="27" t="s">
        <v>182</v>
      </c>
      <c r="D90" s="28" t="s">
        <v>183</v>
      </c>
      <c r="E90" s="23">
        <v>1</v>
      </c>
      <c r="F90" s="25" t="s">
        <v>413</v>
      </c>
      <c r="G90" s="25" t="s">
        <v>413</v>
      </c>
      <c r="H90" s="25" t="s">
        <v>413</v>
      </c>
      <c r="I90" s="25" t="s">
        <v>413</v>
      </c>
      <c r="J90" s="25" t="s">
        <v>413</v>
      </c>
      <c r="K90" s="25" t="s">
        <v>413</v>
      </c>
      <c r="L90" s="25" t="s">
        <v>413</v>
      </c>
      <c r="M90" s="25" t="s">
        <v>413</v>
      </c>
      <c r="N90" s="25" t="s">
        <v>413</v>
      </c>
      <c r="O90" s="25" t="s">
        <v>413</v>
      </c>
      <c r="P90" s="25" t="s">
        <v>413</v>
      </c>
      <c r="Q90" s="25" t="s">
        <v>413</v>
      </c>
      <c r="R90" s="25" t="s">
        <v>413</v>
      </c>
      <c r="S90" s="25" t="s">
        <v>413</v>
      </c>
      <c r="T90" s="79">
        <v>5</v>
      </c>
      <c r="U90" s="25">
        <v>1</v>
      </c>
      <c r="V90" s="79">
        <v>5</v>
      </c>
      <c r="W90" s="78">
        <v>5</v>
      </c>
      <c r="X90" s="79">
        <v>5</v>
      </c>
      <c r="Y90" s="79">
        <v>1</v>
      </c>
      <c r="Z90" s="79">
        <v>5</v>
      </c>
      <c r="AA90" s="78">
        <v>5</v>
      </c>
      <c r="AB90" s="79">
        <v>5</v>
      </c>
      <c r="AC90" s="25">
        <v>1</v>
      </c>
      <c r="AD90" s="79">
        <v>5</v>
      </c>
      <c r="AE90" s="25">
        <v>5</v>
      </c>
      <c r="AF90" s="79">
        <v>5</v>
      </c>
      <c r="AG90" s="25">
        <v>1</v>
      </c>
    </row>
    <row r="91" spans="1:33" ht="24.95" customHeight="1" x14ac:dyDescent="0.25">
      <c r="A91" s="7">
        <v>89</v>
      </c>
      <c r="B91" s="7" t="s">
        <v>49</v>
      </c>
      <c r="C91" s="27" t="s">
        <v>68</v>
      </c>
      <c r="D91" s="28" t="s">
        <v>54</v>
      </c>
      <c r="E91" s="23">
        <v>5</v>
      </c>
      <c r="F91" s="80" t="s">
        <v>413</v>
      </c>
      <c r="G91" s="80" t="s">
        <v>413</v>
      </c>
      <c r="H91" s="80" t="s">
        <v>413</v>
      </c>
      <c r="I91" s="80" t="s">
        <v>413</v>
      </c>
      <c r="J91" s="80" t="s">
        <v>413</v>
      </c>
      <c r="K91" s="80" t="s">
        <v>413</v>
      </c>
      <c r="L91" s="80" t="s">
        <v>413</v>
      </c>
      <c r="M91" s="80" t="s">
        <v>413</v>
      </c>
      <c r="N91" s="80" t="s">
        <v>413</v>
      </c>
      <c r="O91" s="80" t="s">
        <v>413</v>
      </c>
      <c r="P91" s="80" t="s">
        <v>413</v>
      </c>
      <c r="Q91" s="80" t="s">
        <v>413</v>
      </c>
      <c r="R91" s="79" t="s">
        <v>413</v>
      </c>
      <c r="S91" s="81" t="s">
        <v>413</v>
      </c>
      <c r="T91" s="79">
        <v>5</v>
      </c>
      <c r="U91" s="79">
        <v>5</v>
      </c>
      <c r="V91" s="79">
        <v>5</v>
      </c>
      <c r="W91" s="78">
        <v>5</v>
      </c>
      <c r="X91" s="79">
        <v>5</v>
      </c>
      <c r="Y91" s="79">
        <v>5</v>
      </c>
      <c r="Z91" s="79">
        <v>5</v>
      </c>
      <c r="AA91" s="79">
        <v>3</v>
      </c>
      <c r="AB91" s="79">
        <v>5</v>
      </c>
      <c r="AC91" s="81">
        <v>2</v>
      </c>
      <c r="AD91" s="79">
        <v>5</v>
      </c>
      <c r="AE91" s="81">
        <v>2</v>
      </c>
      <c r="AF91" s="79">
        <v>5</v>
      </c>
      <c r="AG91" s="81">
        <v>5</v>
      </c>
    </row>
    <row r="92" spans="1:33" ht="24.95" customHeight="1" x14ac:dyDescent="0.25">
      <c r="A92" s="7">
        <v>90</v>
      </c>
      <c r="B92" s="7" t="s">
        <v>49</v>
      </c>
      <c r="C92" s="27" t="s">
        <v>184</v>
      </c>
      <c r="D92" s="28" t="s">
        <v>185</v>
      </c>
      <c r="E92" s="31">
        <v>5</v>
      </c>
      <c r="F92" s="81" t="s">
        <v>413</v>
      </c>
      <c r="G92" s="81" t="s">
        <v>413</v>
      </c>
      <c r="H92" s="80" t="s">
        <v>413</v>
      </c>
      <c r="I92" s="80" t="s">
        <v>413</v>
      </c>
      <c r="J92" s="80" t="s">
        <v>413</v>
      </c>
      <c r="K92" s="80" t="s">
        <v>413</v>
      </c>
      <c r="L92" s="80" t="s">
        <v>413</v>
      </c>
      <c r="M92" s="81" t="s">
        <v>413</v>
      </c>
      <c r="N92" s="81" t="s">
        <v>413</v>
      </c>
      <c r="O92" s="81" t="s">
        <v>413</v>
      </c>
      <c r="P92" s="81" t="s">
        <v>413</v>
      </c>
      <c r="Q92" s="81" t="s">
        <v>413</v>
      </c>
      <c r="R92" s="79" t="s">
        <v>413</v>
      </c>
      <c r="S92" s="79" t="s">
        <v>413</v>
      </c>
      <c r="T92" s="79">
        <v>5</v>
      </c>
      <c r="U92" s="79">
        <v>5</v>
      </c>
      <c r="V92" s="79">
        <v>5</v>
      </c>
      <c r="W92" s="78">
        <v>5</v>
      </c>
      <c r="X92" s="79">
        <v>5</v>
      </c>
      <c r="Y92" s="79">
        <v>5</v>
      </c>
      <c r="Z92" s="79">
        <v>5</v>
      </c>
      <c r="AA92" s="79">
        <v>5</v>
      </c>
      <c r="AB92" s="79">
        <v>5</v>
      </c>
      <c r="AC92" s="79">
        <v>5</v>
      </c>
      <c r="AD92" s="79">
        <v>5</v>
      </c>
      <c r="AE92" s="79">
        <v>3</v>
      </c>
      <c r="AF92" s="79">
        <v>5</v>
      </c>
      <c r="AG92" s="79">
        <v>5</v>
      </c>
    </row>
    <row r="93" spans="1:33" ht="24.95" customHeight="1" x14ac:dyDescent="0.25">
      <c r="A93" s="7">
        <v>91</v>
      </c>
      <c r="B93" s="7" t="s">
        <v>49</v>
      </c>
      <c r="C93" s="27" t="s">
        <v>89</v>
      </c>
      <c r="D93" s="28" t="s">
        <v>90</v>
      </c>
      <c r="E93" s="23">
        <v>5</v>
      </c>
      <c r="F93" s="80" t="s">
        <v>413</v>
      </c>
      <c r="G93" s="80" t="s">
        <v>413</v>
      </c>
      <c r="H93" s="80" t="s">
        <v>413</v>
      </c>
      <c r="I93" s="80" t="s">
        <v>413</v>
      </c>
      <c r="J93" s="80" t="s">
        <v>413</v>
      </c>
      <c r="K93" s="80" t="s">
        <v>413</v>
      </c>
      <c r="L93" s="80" t="s">
        <v>413</v>
      </c>
      <c r="M93" s="80" t="s">
        <v>413</v>
      </c>
      <c r="N93" s="80" t="s">
        <v>413</v>
      </c>
      <c r="O93" s="80" t="s">
        <v>413</v>
      </c>
      <c r="P93" s="80" t="s">
        <v>413</v>
      </c>
      <c r="Q93" s="80" t="s">
        <v>413</v>
      </c>
      <c r="R93" s="81" t="s">
        <v>413</v>
      </c>
      <c r="S93" s="79" t="s">
        <v>413</v>
      </c>
      <c r="T93" s="79">
        <v>5</v>
      </c>
      <c r="U93" s="81">
        <v>5</v>
      </c>
      <c r="V93" s="79">
        <v>5</v>
      </c>
      <c r="W93" s="78">
        <v>5</v>
      </c>
      <c r="X93" s="79">
        <v>5</v>
      </c>
      <c r="Y93" s="79">
        <v>5</v>
      </c>
      <c r="Z93" s="79">
        <v>5</v>
      </c>
      <c r="AA93" s="79">
        <v>5</v>
      </c>
      <c r="AB93" s="79">
        <v>5</v>
      </c>
      <c r="AC93" s="81">
        <v>5</v>
      </c>
      <c r="AD93" s="79">
        <v>5</v>
      </c>
      <c r="AE93" s="81">
        <v>3</v>
      </c>
      <c r="AF93" s="79">
        <v>5</v>
      </c>
      <c r="AG93" s="81">
        <v>3</v>
      </c>
    </row>
    <row r="94" spans="1:33" ht="24.95" customHeight="1" x14ac:dyDescent="0.25">
      <c r="A94" s="7">
        <v>92</v>
      </c>
      <c r="B94" s="7" t="s">
        <v>49</v>
      </c>
      <c r="C94" s="27" t="s">
        <v>186</v>
      </c>
      <c r="D94" s="28" t="s">
        <v>187</v>
      </c>
      <c r="E94" s="31">
        <v>4</v>
      </c>
      <c r="F94" s="81" t="s">
        <v>413</v>
      </c>
      <c r="G94" s="81" t="s">
        <v>413</v>
      </c>
      <c r="H94" s="81" t="s">
        <v>413</v>
      </c>
      <c r="I94" s="81" t="s">
        <v>413</v>
      </c>
      <c r="J94" s="81" t="s">
        <v>413</v>
      </c>
      <c r="K94" s="81" t="s">
        <v>413</v>
      </c>
      <c r="L94" s="81" t="s">
        <v>413</v>
      </c>
      <c r="M94" s="81" t="s">
        <v>413</v>
      </c>
      <c r="N94" s="81" t="s">
        <v>413</v>
      </c>
      <c r="O94" s="81" t="s">
        <v>413</v>
      </c>
      <c r="P94" s="81" t="s">
        <v>413</v>
      </c>
      <c r="Q94" s="81" t="s">
        <v>413</v>
      </c>
      <c r="R94" s="79" t="s">
        <v>413</v>
      </c>
      <c r="S94" s="79" t="s">
        <v>413</v>
      </c>
      <c r="T94" s="79">
        <v>5</v>
      </c>
      <c r="U94" s="79">
        <v>5</v>
      </c>
      <c r="V94" s="79">
        <v>5</v>
      </c>
      <c r="W94" s="78">
        <v>5</v>
      </c>
      <c r="X94" s="79">
        <v>5</v>
      </c>
      <c r="Y94" s="79">
        <v>5</v>
      </c>
      <c r="Z94" s="79">
        <v>5</v>
      </c>
      <c r="AA94" s="79">
        <v>5</v>
      </c>
      <c r="AB94" s="79">
        <v>5</v>
      </c>
      <c r="AC94" s="79">
        <v>5</v>
      </c>
      <c r="AD94" s="79">
        <v>5</v>
      </c>
      <c r="AE94" s="79">
        <v>5</v>
      </c>
      <c r="AF94" s="79">
        <v>5</v>
      </c>
      <c r="AG94" s="79">
        <v>3</v>
      </c>
    </row>
    <row r="95" spans="1:33" ht="24.95" customHeight="1" x14ac:dyDescent="0.25">
      <c r="A95" s="7">
        <v>93</v>
      </c>
      <c r="B95" s="7" t="s">
        <v>49</v>
      </c>
      <c r="C95" s="27" t="s">
        <v>188</v>
      </c>
      <c r="D95" s="28" t="s">
        <v>189</v>
      </c>
      <c r="E95" s="31">
        <v>2</v>
      </c>
      <c r="F95" s="81" t="s">
        <v>413</v>
      </c>
      <c r="G95" s="81" t="s">
        <v>413</v>
      </c>
      <c r="H95" s="81" t="s">
        <v>413</v>
      </c>
      <c r="I95" s="81" t="s">
        <v>413</v>
      </c>
      <c r="J95" s="81" t="s">
        <v>413</v>
      </c>
      <c r="K95" s="81" t="s">
        <v>413</v>
      </c>
      <c r="L95" s="81" t="s">
        <v>413</v>
      </c>
      <c r="M95" s="81" t="s">
        <v>413</v>
      </c>
      <c r="N95" s="81" t="s">
        <v>413</v>
      </c>
      <c r="O95" s="81" t="s">
        <v>413</v>
      </c>
      <c r="P95" s="81" t="s">
        <v>413</v>
      </c>
      <c r="Q95" s="81" t="s">
        <v>413</v>
      </c>
      <c r="R95" s="79" t="s">
        <v>413</v>
      </c>
      <c r="S95" s="79" t="s">
        <v>413</v>
      </c>
      <c r="T95" s="79">
        <v>5</v>
      </c>
      <c r="U95" s="79">
        <v>5</v>
      </c>
      <c r="V95" s="79">
        <v>5</v>
      </c>
      <c r="W95" s="78">
        <v>5</v>
      </c>
      <c r="X95" s="79">
        <v>5</v>
      </c>
      <c r="Y95" s="79">
        <v>5</v>
      </c>
      <c r="Z95" s="79">
        <v>5</v>
      </c>
      <c r="AA95" s="79">
        <v>5</v>
      </c>
      <c r="AB95" s="79">
        <v>5</v>
      </c>
      <c r="AC95" s="79">
        <v>5</v>
      </c>
      <c r="AD95" s="79">
        <v>5</v>
      </c>
      <c r="AE95" s="79">
        <v>5</v>
      </c>
      <c r="AF95" s="79">
        <v>5</v>
      </c>
      <c r="AG95" s="79">
        <v>5</v>
      </c>
    </row>
    <row r="96" spans="1:33" ht="24.95" customHeight="1" x14ac:dyDescent="0.25">
      <c r="A96" s="7">
        <v>94</v>
      </c>
      <c r="B96" s="7" t="s">
        <v>49</v>
      </c>
      <c r="C96" s="27" t="s">
        <v>190</v>
      </c>
      <c r="D96" s="28" t="s">
        <v>191</v>
      </c>
      <c r="E96" s="31">
        <v>2</v>
      </c>
      <c r="F96" s="81" t="s">
        <v>413</v>
      </c>
      <c r="G96" s="81" t="s">
        <v>413</v>
      </c>
      <c r="H96" s="81" t="s">
        <v>413</v>
      </c>
      <c r="I96" s="81" t="s">
        <v>413</v>
      </c>
      <c r="J96" s="81" t="s">
        <v>413</v>
      </c>
      <c r="K96" s="81" t="s">
        <v>413</v>
      </c>
      <c r="L96" s="81" t="s">
        <v>413</v>
      </c>
      <c r="M96" s="81" t="s">
        <v>413</v>
      </c>
      <c r="N96" s="81" t="s">
        <v>413</v>
      </c>
      <c r="O96" s="81" t="s">
        <v>413</v>
      </c>
      <c r="P96" s="81" t="s">
        <v>413</v>
      </c>
      <c r="Q96" s="81" t="s">
        <v>413</v>
      </c>
      <c r="R96" s="79" t="s">
        <v>413</v>
      </c>
      <c r="S96" s="79" t="s">
        <v>413</v>
      </c>
      <c r="T96" s="79">
        <v>5</v>
      </c>
      <c r="U96" s="79">
        <v>5</v>
      </c>
      <c r="V96" s="79">
        <v>5</v>
      </c>
      <c r="W96" s="78">
        <v>5</v>
      </c>
      <c r="X96" s="79">
        <v>5</v>
      </c>
      <c r="Y96" s="79">
        <v>5</v>
      </c>
      <c r="Z96" s="79">
        <v>5</v>
      </c>
      <c r="AA96" s="79">
        <v>5</v>
      </c>
      <c r="AB96" s="79">
        <v>5</v>
      </c>
      <c r="AC96" s="79">
        <v>5</v>
      </c>
      <c r="AD96" s="79">
        <v>5</v>
      </c>
      <c r="AE96" s="79">
        <v>5</v>
      </c>
      <c r="AF96" s="79">
        <v>5</v>
      </c>
      <c r="AG96" s="79">
        <v>5</v>
      </c>
    </row>
    <row r="97" spans="1:33" ht="24.95" customHeight="1" x14ac:dyDescent="0.25">
      <c r="A97" s="7">
        <v>95</v>
      </c>
      <c r="B97" s="7" t="s">
        <v>49</v>
      </c>
      <c r="C97" s="27" t="s">
        <v>192</v>
      </c>
      <c r="D97" s="28" t="s">
        <v>193</v>
      </c>
      <c r="E97" s="23">
        <v>5</v>
      </c>
      <c r="F97" s="80" t="s">
        <v>413</v>
      </c>
      <c r="G97" s="80" t="s">
        <v>413</v>
      </c>
      <c r="H97" s="25" t="s">
        <v>413</v>
      </c>
      <c r="I97" s="25" t="s">
        <v>413</v>
      </c>
      <c r="J97" s="25" t="s">
        <v>413</v>
      </c>
      <c r="K97" s="25" t="s">
        <v>413</v>
      </c>
      <c r="L97" s="25" t="s">
        <v>413</v>
      </c>
      <c r="M97" s="80" t="s">
        <v>413</v>
      </c>
      <c r="N97" s="80" t="s">
        <v>413</v>
      </c>
      <c r="O97" s="80" t="s">
        <v>413</v>
      </c>
      <c r="P97" s="80" t="s">
        <v>413</v>
      </c>
      <c r="Q97" s="80" t="s">
        <v>413</v>
      </c>
      <c r="R97" s="81" t="s">
        <v>413</v>
      </c>
      <c r="S97" s="81" t="s">
        <v>413</v>
      </c>
      <c r="T97" s="79">
        <v>5</v>
      </c>
      <c r="U97" s="81">
        <v>5</v>
      </c>
      <c r="V97" s="79">
        <v>5</v>
      </c>
      <c r="W97" s="78">
        <v>5</v>
      </c>
      <c r="X97" s="79">
        <v>5</v>
      </c>
      <c r="Y97" s="79">
        <v>5</v>
      </c>
      <c r="Z97" s="79">
        <v>5</v>
      </c>
      <c r="AA97" s="81">
        <v>3</v>
      </c>
      <c r="AB97" s="79">
        <v>5</v>
      </c>
      <c r="AC97" s="81">
        <v>2</v>
      </c>
      <c r="AD97" s="79">
        <v>5</v>
      </c>
      <c r="AE97" s="81">
        <v>2</v>
      </c>
      <c r="AF97" s="79">
        <v>5</v>
      </c>
      <c r="AG97" s="81">
        <v>3</v>
      </c>
    </row>
    <row r="98" spans="1:33" ht="24.95" customHeight="1" x14ac:dyDescent="0.25">
      <c r="A98" s="7">
        <v>96</v>
      </c>
      <c r="B98" s="7" t="s">
        <v>49</v>
      </c>
      <c r="C98" s="27" t="s">
        <v>194</v>
      </c>
      <c r="D98" s="28" t="s">
        <v>195</v>
      </c>
      <c r="E98" s="25">
        <v>4</v>
      </c>
      <c r="F98" s="80" t="s">
        <v>413</v>
      </c>
      <c r="G98" s="80" t="s">
        <v>413</v>
      </c>
      <c r="H98" s="80" t="s">
        <v>413</v>
      </c>
      <c r="I98" s="80" t="s">
        <v>413</v>
      </c>
      <c r="J98" s="80" t="s">
        <v>413</v>
      </c>
      <c r="K98" s="80" t="s">
        <v>413</v>
      </c>
      <c r="L98" s="80" t="s">
        <v>413</v>
      </c>
      <c r="M98" s="80" t="s">
        <v>413</v>
      </c>
      <c r="N98" s="80" t="s">
        <v>413</v>
      </c>
      <c r="O98" s="80" t="s">
        <v>413</v>
      </c>
      <c r="P98" s="80" t="s">
        <v>413</v>
      </c>
      <c r="Q98" s="80" t="s">
        <v>413</v>
      </c>
      <c r="R98" s="79" t="s">
        <v>413</v>
      </c>
      <c r="S98" s="79" t="s">
        <v>413</v>
      </c>
      <c r="T98" s="79">
        <v>5</v>
      </c>
      <c r="U98" s="79">
        <v>5</v>
      </c>
      <c r="V98" s="79">
        <v>5</v>
      </c>
      <c r="W98" s="78">
        <v>5</v>
      </c>
      <c r="X98" s="79">
        <v>5</v>
      </c>
      <c r="Y98" s="79">
        <v>5</v>
      </c>
      <c r="Z98" s="79">
        <v>5</v>
      </c>
      <c r="AA98" s="79">
        <v>3</v>
      </c>
      <c r="AB98" s="79">
        <v>5</v>
      </c>
      <c r="AC98" s="79">
        <v>4</v>
      </c>
      <c r="AD98" s="79">
        <v>5</v>
      </c>
      <c r="AE98" s="81">
        <v>3</v>
      </c>
      <c r="AF98" s="79">
        <v>5</v>
      </c>
      <c r="AG98" s="81">
        <v>3</v>
      </c>
    </row>
    <row r="99" spans="1:33" ht="24.95" customHeight="1" x14ac:dyDescent="0.25">
      <c r="A99" s="7">
        <v>97</v>
      </c>
      <c r="B99" s="7" t="s">
        <v>49</v>
      </c>
      <c r="C99" s="27" t="s">
        <v>196</v>
      </c>
      <c r="D99" s="28" t="s">
        <v>197</v>
      </c>
      <c r="E99" s="25">
        <v>4</v>
      </c>
      <c r="F99" s="80" t="s">
        <v>413</v>
      </c>
      <c r="G99" s="80" t="s">
        <v>413</v>
      </c>
      <c r="H99" s="80" t="s">
        <v>413</v>
      </c>
      <c r="I99" s="80" t="s">
        <v>413</v>
      </c>
      <c r="J99" s="80" t="s">
        <v>413</v>
      </c>
      <c r="K99" s="80" t="s">
        <v>413</v>
      </c>
      <c r="L99" s="80" t="s">
        <v>413</v>
      </c>
      <c r="M99" s="80" t="s">
        <v>413</v>
      </c>
      <c r="N99" s="80" t="s">
        <v>413</v>
      </c>
      <c r="O99" s="80" t="s">
        <v>413</v>
      </c>
      <c r="P99" s="80" t="s">
        <v>413</v>
      </c>
      <c r="Q99" s="80" t="s">
        <v>413</v>
      </c>
      <c r="R99" s="79" t="s">
        <v>413</v>
      </c>
      <c r="S99" s="79" t="s">
        <v>413</v>
      </c>
      <c r="T99" s="79">
        <v>5</v>
      </c>
      <c r="U99" s="79">
        <v>5</v>
      </c>
      <c r="V99" s="79">
        <v>5</v>
      </c>
      <c r="W99" s="78">
        <v>5</v>
      </c>
      <c r="X99" s="79">
        <v>5</v>
      </c>
      <c r="Y99" s="79">
        <v>5</v>
      </c>
      <c r="Z99" s="79">
        <v>5</v>
      </c>
      <c r="AA99" s="79">
        <v>3</v>
      </c>
      <c r="AB99" s="79">
        <v>5</v>
      </c>
      <c r="AC99" s="79">
        <v>2</v>
      </c>
      <c r="AD99" s="79">
        <v>5</v>
      </c>
      <c r="AE99" s="81">
        <v>3</v>
      </c>
      <c r="AF99" s="79">
        <v>5</v>
      </c>
      <c r="AG99" s="81">
        <v>3</v>
      </c>
    </row>
    <row r="100" spans="1:33" ht="24.95" customHeight="1" x14ac:dyDescent="0.25">
      <c r="A100" s="7">
        <v>98</v>
      </c>
      <c r="B100" s="7" t="s">
        <v>49</v>
      </c>
      <c r="C100" s="27" t="s">
        <v>91</v>
      </c>
      <c r="D100" s="28" t="s">
        <v>92</v>
      </c>
      <c r="E100" s="24">
        <v>2</v>
      </c>
      <c r="F100" s="81" t="s">
        <v>413</v>
      </c>
      <c r="G100" s="81" t="s">
        <v>413</v>
      </c>
      <c r="H100" s="81" t="s">
        <v>413</v>
      </c>
      <c r="I100" s="81" t="s">
        <v>413</v>
      </c>
      <c r="J100" s="81" t="s">
        <v>413</v>
      </c>
      <c r="K100" s="81" t="s">
        <v>413</v>
      </c>
      <c r="L100" s="81" t="s">
        <v>413</v>
      </c>
      <c r="M100" s="81" t="s">
        <v>413</v>
      </c>
      <c r="N100" s="81" t="s">
        <v>413</v>
      </c>
      <c r="O100" s="81" t="s">
        <v>413</v>
      </c>
      <c r="P100" s="81" t="s">
        <v>413</v>
      </c>
      <c r="Q100" s="81" t="s">
        <v>413</v>
      </c>
      <c r="R100" s="79" t="s">
        <v>413</v>
      </c>
      <c r="S100" s="79" t="s">
        <v>413</v>
      </c>
      <c r="T100" s="79">
        <v>5</v>
      </c>
      <c r="U100" s="79">
        <v>5</v>
      </c>
      <c r="V100" s="79">
        <v>5</v>
      </c>
      <c r="W100" s="78">
        <v>5</v>
      </c>
      <c r="X100" s="79">
        <v>5</v>
      </c>
      <c r="Y100" s="79">
        <v>5</v>
      </c>
      <c r="Z100" s="79">
        <v>5</v>
      </c>
      <c r="AA100" s="79">
        <v>5</v>
      </c>
      <c r="AB100" s="79">
        <v>5</v>
      </c>
      <c r="AC100" s="79">
        <v>5</v>
      </c>
      <c r="AD100" s="79">
        <v>5</v>
      </c>
      <c r="AE100" s="79">
        <v>3</v>
      </c>
      <c r="AF100" s="79">
        <v>5</v>
      </c>
      <c r="AG100" s="79">
        <v>5</v>
      </c>
    </row>
    <row r="101" spans="1:33" ht="24.95" customHeight="1" x14ac:dyDescent="0.25">
      <c r="A101" s="7">
        <v>99</v>
      </c>
      <c r="B101" s="7" t="s">
        <v>49</v>
      </c>
      <c r="C101" s="27" t="s">
        <v>77</v>
      </c>
      <c r="D101" s="28" t="s">
        <v>40</v>
      </c>
      <c r="E101" s="31">
        <v>3</v>
      </c>
      <c r="F101" s="81" t="s">
        <v>413</v>
      </c>
      <c r="G101" s="81" t="s">
        <v>413</v>
      </c>
      <c r="H101" s="81" t="s">
        <v>413</v>
      </c>
      <c r="I101" s="81" t="s">
        <v>413</v>
      </c>
      <c r="J101" s="81" t="s">
        <v>413</v>
      </c>
      <c r="K101" s="81" t="s">
        <v>413</v>
      </c>
      <c r="L101" s="81" t="s">
        <v>413</v>
      </c>
      <c r="M101" s="81" t="s">
        <v>413</v>
      </c>
      <c r="N101" s="81" t="s">
        <v>413</v>
      </c>
      <c r="O101" s="81" t="s">
        <v>413</v>
      </c>
      <c r="P101" s="81" t="s">
        <v>413</v>
      </c>
      <c r="Q101" s="81" t="s">
        <v>413</v>
      </c>
      <c r="R101" s="79" t="s">
        <v>413</v>
      </c>
      <c r="S101" s="79" t="s">
        <v>413</v>
      </c>
      <c r="T101" s="79">
        <v>5</v>
      </c>
      <c r="U101" s="79">
        <v>5</v>
      </c>
      <c r="V101" s="79">
        <v>5</v>
      </c>
      <c r="W101" s="78">
        <v>5</v>
      </c>
      <c r="X101" s="79">
        <v>5</v>
      </c>
      <c r="Y101" s="79">
        <v>5</v>
      </c>
      <c r="Z101" s="79">
        <v>5</v>
      </c>
      <c r="AA101" s="79">
        <v>5</v>
      </c>
      <c r="AB101" s="79">
        <v>5</v>
      </c>
      <c r="AC101" s="79">
        <v>5</v>
      </c>
      <c r="AD101" s="79">
        <v>5</v>
      </c>
      <c r="AE101" s="79">
        <v>4</v>
      </c>
      <c r="AF101" s="79">
        <v>5</v>
      </c>
      <c r="AG101" s="79">
        <v>5</v>
      </c>
    </row>
    <row r="102" spans="1:33" ht="24.95" customHeight="1" x14ac:dyDescent="0.25">
      <c r="A102" s="7">
        <v>100</v>
      </c>
      <c r="B102" s="7" t="s">
        <v>49</v>
      </c>
      <c r="C102" s="27" t="s">
        <v>72</v>
      </c>
      <c r="D102" s="28" t="s">
        <v>73</v>
      </c>
      <c r="E102" s="31">
        <v>3</v>
      </c>
      <c r="F102" s="81" t="s">
        <v>413</v>
      </c>
      <c r="G102" s="81" t="s">
        <v>413</v>
      </c>
      <c r="H102" s="81" t="s">
        <v>413</v>
      </c>
      <c r="I102" s="81" t="s">
        <v>413</v>
      </c>
      <c r="J102" s="81" t="s">
        <v>413</v>
      </c>
      <c r="K102" s="81" t="s">
        <v>413</v>
      </c>
      <c r="L102" s="81" t="s">
        <v>413</v>
      </c>
      <c r="M102" s="81" t="s">
        <v>413</v>
      </c>
      <c r="N102" s="81" t="s">
        <v>413</v>
      </c>
      <c r="O102" s="81" t="s">
        <v>413</v>
      </c>
      <c r="P102" s="81" t="s">
        <v>413</v>
      </c>
      <c r="Q102" s="81" t="s">
        <v>413</v>
      </c>
      <c r="R102" s="79" t="s">
        <v>413</v>
      </c>
      <c r="S102" s="79" t="s">
        <v>413</v>
      </c>
      <c r="T102" s="79">
        <v>5</v>
      </c>
      <c r="U102" s="79">
        <v>5</v>
      </c>
      <c r="V102" s="79">
        <v>5</v>
      </c>
      <c r="W102" s="78">
        <v>5</v>
      </c>
      <c r="X102" s="79">
        <v>5</v>
      </c>
      <c r="Y102" s="79">
        <v>5</v>
      </c>
      <c r="Z102" s="79">
        <v>5</v>
      </c>
      <c r="AA102" s="79">
        <v>5</v>
      </c>
      <c r="AB102" s="79">
        <v>5</v>
      </c>
      <c r="AC102" s="79">
        <v>5</v>
      </c>
      <c r="AD102" s="79">
        <v>5</v>
      </c>
      <c r="AE102" s="79">
        <v>4</v>
      </c>
      <c r="AF102" s="79">
        <v>5</v>
      </c>
      <c r="AG102" s="79">
        <v>5</v>
      </c>
    </row>
    <row r="103" spans="1:33" ht="24.95" customHeight="1" x14ac:dyDescent="0.25">
      <c r="A103" s="7">
        <v>101</v>
      </c>
      <c r="B103" s="7" t="s">
        <v>49</v>
      </c>
      <c r="C103" s="27" t="s">
        <v>93</v>
      </c>
      <c r="D103" s="28" t="s">
        <v>94</v>
      </c>
      <c r="E103" s="23">
        <v>4</v>
      </c>
      <c r="F103" s="25" t="s">
        <v>413</v>
      </c>
      <c r="G103" s="25" t="s">
        <v>413</v>
      </c>
      <c r="H103" s="25" t="s">
        <v>413</v>
      </c>
      <c r="I103" s="25" t="s">
        <v>413</v>
      </c>
      <c r="J103" s="25" t="s">
        <v>413</v>
      </c>
      <c r="K103" s="25" t="s">
        <v>413</v>
      </c>
      <c r="L103" s="25" t="s">
        <v>413</v>
      </c>
      <c r="M103" s="25" t="s">
        <v>413</v>
      </c>
      <c r="N103" s="25" t="s">
        <v>413</v>
      </c>
      <c r="O103" s="25" t="s">
        <v>413</v>
      </c>
      <c r="P103" s="25" t="s">
        <v>413</v>
      </c>
      <c r="Q103" s="25" t="s">
        <v>413</v>
      </c>
      <c r="R103" s="79" t="s">
        <v>413</v>
      </c>
      <c r="S103" s="80" t="s">
        <v>413</v>
      </c>
      <c r="T103" s="79">
        <v>5</v>
      </c>
      <c r="U103" s="79">
        <v>5</v>
      </c>
      <c r="V103" s="79">
        <v>5</v>
      </c>
      <c r="W103" s="78">
        <v>5</v>
      </c>
      <c r="X103" s="79">
        <v>5</v>
      </c>
      <c r="Y103" s="79">
        <v>5</v>
      </c>
      <c r="Z103" s="79">
        <v>5</v>
      </c>
      <c r="AA103" s="25">
        <v>3</v>
      </c>
      <c r="AB103" s="79">
        <v>5</v>
      </c>
      <c r="AC103" s="25">
        <v>1</v>
      </c>
      <c r="AD103" s="79">
        <v>5</v>
      </c>
      <c r="AE103" s="25">
        <v>1</v>
      </c>
      <c r="AF103" s="79">
        <v>5</v>
      </c>
      <c r="AG103" s="25">
        <v>1</v>
      </c>
    </row>
    <row r="104" spans="1:33" ht="24.95" customHeight="1" x14ac:dyDescent="0.25">
      <c r="A104" s="7">
        <v>102</v>
      </c>
      <c r="B104" s="7" t="s">
        <v>49</v>
      </c>
      <c r="C104" s="27" t="s">
        <v>66</v>
      </c>
      <c r="D104" s="28" t="s">
        <v>67</v>
      </c>
      <c r="E104" s="31">
        <v>5</v>
      </c>
      <c r="F104" s="80" t="s">
        <v>413</v>
      </c>
      <c r="G104" s="80" t="s">
        <v>413</v>
      </c>
      <c r="H104" s="80" t="s">
        <v>413</v>
      </c>
      <c r="I104" s="80" t="s">
        <v>413</v>
      </c>
      <c r="J104" s="80" t="s">
        <v>413</v>
      </c>
      <c r="K104" s="80" t="s">
        <v>413</v>
      </c>
      <c r="L104" s="80" t="s">
        <v>413</v>
      </c>
      <c r="M104" s="80" t="s">
        <v>413</v>
      </c>
      <c r="N104" s="80" t="s">
        <v>413</v>
      </c>
      <c r="O104" s="80" t="s">
        <v>413</v>
      </c>
      <c r="P104" s="80" t="s">
        <v>413</v>
      </c>
      <c r="Q104" s="80" t="s">
        <v>413</v>
      </c>
      <c r="R104" s="79" t="s">
        <v>413</v>
      </c>
      <c r="S104" s="79" t="s">
        <v>413</v>
      </c>
      <c r="T104" s="79">
        <v>5</v>
      </c>
      <c r="U104" s="79">
        <v>5</v>
      </c>
      <c r="V104" s="79">
        <v>5</v>
      </c>
      <c r="W104" s="78">
        <v>5</v>
      </c>
      <c r="X104" s="79">
        <v>5</v>
      </c>
      <c r="Y104" s="79">
        <v>5</v>
      </c>
      <c r="Z104" s="79">
        <v>5</v>
      </c>
      <c r="AA104" s="81">
        <v>5</v>
      </c>
      <c r="AB104" s="79">
        <v>5</v>
      </c>
      <c r="AC104" s="81">
        <v>3</v>
      </c>
      <c r="AD104" s="79">
        <v>5</v>
      </c>
      <c r="AE104" s="81">
        <v>4</v>
      </c>
      <c r="AF104" s="79">
        <v>5</v>
      </c>
      <c r="AG104" s="81">
        <v>5</v>
      </c>
    </row>
    <row r="105" spans="1:33" ht="24.95" customHeight="1" x14ac:dyDescent="0.25">
      <c r="A105" s="7">
        <v>103</v>
      </c>
      <c r="B105" s="7" t="s">
        <v>49</v>
      </c>
      <c r="C105" s="27" t="s">
        <v>198</v>
      </c>
      <c r="D105" s="28" t="s">
        <v>199</v>
      </c>
      <c r="E105" s="24">
        <v>2</v>
      </c>
      <c r="F105" s="81" t="s">
        <v>413</v>
      </c>
      <c r="G105" s="81" t="s">
        <v>413</v>
      </c>
      <c r="H105" s="81" t="s">
        <v>413</v>
      </c>
      <c r="I105" s="81" t="s">
        <v>413</v>
      </c>
      <c r="J105" s="81" t="s">
        <v>413</v>
      </c>
      <c r="K105" s="81" t="s">
        <v>413</v>
      </c>
      <c r="L105" s="81" t="s">
        <v>413</v>
      </c>
      <c r="M105" s="81" t="s">
        <v>413</v>
      </c>
      <c r="N105" s="81" t="s">
        <v>413</v>
      </c>
      <c r="O105" s="81" t="s">
        <v>413</v>
      </c>
      <c r="P105" s="81" t="s">
        <v>413</v>
      </c>
      <c r="Q105" s="81" t="s">
        <v>413</v>
      </c>
      <c r="R105" s="79" t="s">
        <v>413</v>
      </c>
      <c r="S105" s="79" t="s">
        <v>413</v>
      </c>
      <c r="T105" s="79">
        <v>5</v>
      </c>
      <c r="U105" s="79">
        <v>5</v>
      </c>
      <c r="V105" s="79">
        <v>5</v>
      </c>
      <c r="W105" s="78">
        <v>5</v>
      </c>
      <c r="X105" s="79">
        <v>5</v>
      </c>
      <c r="Y105" s="79">
        <v>5</v>
      </c>
      <c r="Z105" s="79">
        <v>5</v>
      </c>
      <c r="AA105" s="79">
        <v>5</v>
      </c>
      <c r="AB105" s="79">
        <v>5</v>
      </c>
      <c r="AC105" s="79">
        <v>5</v>
      </c>
      <c r="AD105" s="79">
        <v>5</v>
      </c>
      <c r="AE105" s="79">
        <v>5</v>
      </c>
      <c r="AF105" s="79">
        <v>5</v>
      </c>
      <c r="AG105" s="79">
        <v>5</v>
      </c>
    </row>
    <row r="106" spans="1:33" ht="24.95" customHeight="1" x14ac:dyDescent="0.25">
      <c r="A106" s="7">
        <v>104</v>
      </c>
      <c r="B106" s="7" t="s">
        <v>49</v>
      </c>
      <c r="C106" s="27" t="s">
        <v>200</v>
      </c>
      <c r="D106" s="28" t="s">
        <v>201</v>
      </c>
      <c r="E106" s="24">
        <v>5</v>
      </c>
      <c r="F106" s="81" t="s">
        <v>413</v>
      </c>
      <c r="G106" s="81" t="s">
        <v>413</v>
      </c>
      <c r="H106" s="81" t="s">
        <v>413</v>
      </c>
      <c r="I106" s="81" t="s">
        <v>413</v>
      </c>
      <c r="J106" s="81" t="s">
        <v>413</v>
      </c>
      <c r="K106" s="81" t="s">
        <v>413</v>
      </c>
      <c r="L106" s="81" t="s">
        <v>413</v>
      </c>
      <c r="M106" s="81" t="s">
        <v>413</v>
      </c>
      <c r="N106" s="81" t="s">
        <v>413</v>
      </c>
      <c r="O106" s="81" t="s">
        <v>413</v>
      </c>
      <c r="P106" s="81" t="s">
        <v>413</v>
      </c>
      <c r="Q106" s="81" t="s">
        <v>413</v>
      </c>
      <c r="R106" s="79" t="s">
        <v>413</v>
      </c>
      <c r="S106" s="79" t="s">
        <v>413</v>
      </c>
      <c r="T106" s="79">
        <v>5</v>
      </c>
      <c r="U106" s="79">
        <v>5</v>
      </c>
      <c r="V106" s="79">
        <v>5</v>
      </c>
      <c r="W106" s="78">
        <v>5</v>
      </c>
      <c r="X106" s="79">
        <v>5</v>
      </c>
      <c r="Y106" s="79">
        <v>5</v>
      </c>
      <c r="Z106" s="79">
        <v>5</v>
      </c>
      <c r="AA106" s="79">
        <v>5</v>
      </c>
      <c r="AB106" s="79">
        <v>5</v>
      </c>
      <c r="AC106" s="79">
        <v>2</v>
      </c>
      <c r="AD106" s="79">
        <v>5</v>
      </c>
      <c r="AE106" s="79">
        <v>2</v>
      </c>
      <c r="AF106" s="79">
        <v>5</v>
      </c>
      <c r="AG106" s="79">
        <v>3</v>
      </c>
    </row>
    <row r="107" spans="1:33" ht="24.95" customHeight="1" x14ac:dyDescent="0.25">
      <c r="A107" s="7">
        <v>105</v>
      </c>
      <c r="B107" s="7" t="s">
        <v>49</v>
      </c>
      <c r="C107" s="27" t="s">
        <v>202</v>
      </c>
      <c r="D107" s="28" t="s">
        <v>203</v>
      </c>
      <c r="E107" s="31">
        <v>4</v>
      </c>
      <c r="F107" s="81" t="s">
        <v>413</v>
      </c>
      <c r="G107" s="81" t="s">
        <v>413</v>
      </c>
      <c r="H107" s="81" t="s">
        <v>413</v>
      </c>
      <c r="I107" s="81" t="s">
        <v>413</v>
      </c>
      <c r="J107" s="81" t="s">
        <v>413</v>
      </c>
      <c r="K107" s="81" t="s">
        <v>413</v>
      </c>
      <c r="L107" s="81" t="s">
        <v>413</v>
      </c>
      <c r="M107" s="81" t="s">
        <v>413</v>
      </c>
      <c r="N107" s="81" t="s">
        <v>413</v>
      </c>
      <c r="O107" s="81" t="s">
        <v>413</v>
      </c>
      <c r="P107" s="81" t="s">
        <v>413</v>
      </c>
      <c r="Q107" s="81" t="s">
        <v>413</v>
      </c>
      <c r="R107" s="79" t="s">
        <v>413</v>
      </c>
      <c r="S107" s="79" t="s">
        <v>413</v>
      </c>
      <c r="T107" s="79">
        <v>5</v>
      </c>
      <c r="U107" s="79">
        <v>5</v>
      </c>
      <c r="V107" s="79">
        <v>5</v>
      </c>
      <c r="W107" s="78">
        <v>5</v>
      </c>
      <c r="X107" s="79">
        <v>5</v>
      </c>
      <c r="Y107" s="79">
        <v>5</v>
      </c>
      <c r="Z107" s="79">
        <v>5</v>
      </c>
      <c r="AA107" s="81">
        <v>5</v>
      </c>
      <c r="AB107" s="79">
        <v>5</v>
      </c>
      <c r="AC107" s="81">
        <v>3</v>
      </c>
      <c r="AD107" s="79">
        <v>5</v>
      </c>
      <c r="AE107" s="81">
        <v>3</v>
      </c>
      <c r="AF107" s="79">
        <v>5</v>
      </c>
      <c r="AG107" s="81">
        <v>4</v>
      </c>
    </row>
    <row r="108" spans="1:33" ht="24.95" customHeight="1" x14ac:dyDescent="0.25">
      <c r="A108" s="7">
        <v>106</v>
      </c>
      <c r="B108" s="7" t="s">
        <v>49</v>
      </c>
      <c r="C108" s="27" t="s">
        <v>204</v>
      </c>
      <c r="D108" s="28" t="s">
        <v>205</v>
      </c>
      <c r="E108" s="31">
        <v>4</v>
      </c>
      <c r="F108" s="81" t="s">
        <v>413</v>
      </c>
      <c r="G108" s="81" t="s">
        <v>413</v>
      </c>
      <c r="H108" s="81" t="s">
        <v>413</v>
      </c>
      <c r="I108" s="81" t="s">
        <v>413</v>
      </c>
      <c r="J108" s="81" t="s">
        <v>413</v>
      </c>
      <c r="K108" s="81" t="s">
        <v>413</v>
      </c>
      <c r="L108" s="81" t="s">
        <v>413</v>
      </c>
      <c r="M108" s="81" t="s">
        <v>413</v>
      </c>
      <c r="N108" s="81" t="s">
        <v>413</v>
      </c>
      <c r="O108" s="81" t="s">
        <v>413</v>
      </c>
      <c r="P108" s="81" t="s">
        <v>413</v>
      </c>
      <c r="Q108" s="81" t="s">
        <v>413</v>
      </c>
      <c r="R108" s="79" t="s">
        <v>413</v>
      </c>
      <c r="S108" s="79" t="s">
        <v>413</v>
      </c>
      <c r="T108" s="79">
        <v>5</v>
      </c>
      <c r="U108" s="79">
        <v>5</v>
      </c>
      <c r="V108" s="79">
        <v>5</v>
      </c>
      <c r="W108" s="78">
        <v>5</v>
      </c>
      <c r="X108" s="79">
        <v>5</v>
      </c>
      <c r="Y108" s="79">
        <v>3</v>
      </c>
      <c r="Z108" s="79">
        <v>5</v>
      </c>
      <c r="AA108" s="81">
        <v>5</v>
      </c>
      <c r="AB108" s="79">
        <v>5</v>
      </c>
      <c r="AC108" s="81">
        <v>3</v>
      </c>
      <c r="AD108" s="79">
        <v>5</v>
      </c>
      <c r="AE108" s="81">
        <v>3</v>
      </c>
      <c r="AF108" s="79">
        <v>5</v>
      </c>
      <c r="AG108" s="81">
        <v>4</v>
      </c>
    </row>
    <row r="109" spans="1:33" ht="24.95" customHeight="1" x14ac:dyDescent="0.25">
      <c r="A109" s="7">
        <v>107</v>
      </c>
      <c r="B109" s="7" t="s">
        <v>49</v>
      </c>
      <c r="C109" s="27" t="s">
        <v>206</v>
      </c>
      <c r="D109" s="28" t="s">
        <v>207</v>
      </c>
      <c r="E109" s="24">
        <v>2</v>
      </c>
      <c r="F109" s="81" t="s">
        <v>413</v>
      </c>
      <c r="G109" s="81" t="s">
        <v>413</v>
      </c>
      <c r="H109" s="81" t="s">
        <v>413</v>
      </c>
      <c r="I109" s="81" t="s">
        <v>413</v>
      </c>
      <c r="J109" s="81" t="s">
        <v>413</v>
      </c>
      <c r="K109" s="81" t="s">
        <v>413</v>
      </c>
      <c r="L109" s="81" t="s">
        <v>413</v>
      </c>
      <c r="M109" s="81" t="s">
        <v>413</v>
      </c>
      <c r="N109" s="81" t="s">
        <v>413</v>
      </c>
      <c r="O109" s="81" t="s">
        <v>413</v>
      </c>
      <c r="P109" s="81" t="s">
        <v>413</v>
      </c>
      <c r="Q109" s="81" t="s">
        <v>413</v>
      </c>
      <c r="R109" s="79" t="s">
        <v>413</v>
      </c>
      <c r="S109" s="79" t="s">
        <v>413</v>
      </c>
      <c r="T109" s="79">
        <v>5</v>
      </c>
      <c r="U109" s="79">
        <v>5</v>
      </c>
      <c r="V109" s="79">
        <v>5</v>
      </c>
      <c r="W109" s="78">
        <v>5</v>
      </c>
      <c r="X109" s="79">
        <v>5</v>
      </c>
      <c r="Y109" s="79">
        <v>5</v>
      </c>
      <c r="Z109" s="79">
        <v>5</v>
      </c>
      <c r="AA109" s="79">
        <v>5</v>
      </c>
      <c r="AB109" s="79">
        <v>5</v>
      </c>
      <c r="AC109" s="79">
        <v>5</v>
      </c>
      <c r="AD109" s="79">
        <v>5</v>
      </c>
      <c r="AE109" s="79">
        <v>5</v>
      </c>
      <c r="AF109" s="79">
        <v>5</v>
      </c>
      <c r="AG109" s="79">
        <v>5</v>
      </c>
    </row>
    <row r="110" spans="1:33" ht="24.95" customHeight="1" x14ac:dyDescent="0.25">
      <c r="A110" s="7">
        <v>108</v>
      </c>
      <c r="B110" s="7" t="s">
        <v>49</v>
      </c>
      <c r="C110" s="27" t="s">
        <v>208</v>
      </c>
      <c r="D110" s="28" t="s">
        <v>209</v>
      </c>
      <c r="E110" s="24">
        <v>2</v>
      </c>
      <c r="F110" s="81" t="s">
        <v>413</v>
      </c>
      <c r="G110" s="81" t="s">
        <v>413</v>
      </c>
      <c r="H110" s="81" t="s">
        <v>413</v>
      </c>
      <c r="I110" s="81" t="s">
        <v>413</v>
      </c>
      <c r="J110" s="81" t="s">
        <v>413</v>
      </c>
      <c r="K110" s="81" t="s">
        <v>413</v>
      </c>
      <c r="L110" s="81" t="s">
        <v>413</v>
      </c>
      <c r="M110" s="81" t="s">
        <v>413</v>
      </c>
      <c r="N110" s="81" t="s">
        <v>413</v>
      </c>
      <c r="O110" s="81" t="s">
        <v>413</v>
      </c>
      <c r="P110" s="81" t="s">
        <v>413</v>
      </c>
      <c r="Q110" s="81" t="s">
        <v>413</v>
      </c>
      <c r="R110" s="79" t="s">
        <v>413</v>
      </c>
      <c r="S110" s="79" t="s">
        <v>413</v>
      </c>
      <c r="T110" s="79">
        <v>5</v>
      </c>
      <c r="U110" s="79">
        <v>5</v>
      </c>
      <c r="V110" s="79">
        <v>5</v>
      </c>
      <c r="W110" s="78">
        <v>5</v>
      </c>
      <c r="X110" s="79">
        <v>5</v>
      </c>
      <c r="Y110" s="79">
        <v>5</v>
      </c>
      <c r="Z110" s="79">
        <v>5</v>
      </c>
      <c r="AA110" s="79">
        <v>5</v>
      </c>
      <c r="AB110" s="79">
        <v>5</v>
      </c>
      <c r="AC110" s="79">
        <v>5</v>
      </c>
      <c r="AD110" s="79">
        <v>5</v>
      </c>
      <c r="AE110" s="79">
        <v>5</v>
      </c>
      <c r="AF110" s="79">
        <v>5</v>
      </c>
      <c r="AG110" s="79">
        <v>5</v>
      </c>
    </row>
    <row r="111" spans="1:33" ht="24.95" customHeight="1" x14ac:dyDescent="0.25">
      <c r="A111" s="7">
        <v>109</v>
      </c>
      <c r="B111" s="7" t="s">
        <v>49</v>
      </c>
      <c r="C111" s="27" t="s">
        <v>210</v>
      </c>
      <c r="D111" s="28" t="s">
        <v>211</v>
      </c>
      <c r="E111" s="24">
        <v>2</v>
      </c>
      <c r="F111" s="81" t="s">
        <v>413</v>
      </c>
      <c r="G111" s="81" t="s">
        <v>413</v>
      </c>
      <c r="H111" s="81" t="s">
        <v>413</v>
      </c>
      <c r="I111" s="81" t="s">
        <v>413</v>
      </c>
      <c r="J111" s="81" t="s">
        <v>413</v>
      </c>
      <c r="K111" s="81" t="s">
        <v>413</v>
      </c>
      <c r="L111" s="81" t="s">
        <v>413</v>
      </c>
      <c r="M111" s="81" t="s">
        <v>413</v>
      </c>
      <c r="N111" s="81" t="s">
        <v>413</v>
      </c>
      <c r="O111" s="81" t="s">
        <v>413</v>
      </c>
      <c r="P111" s="81" t="s">
        <v>413</v>
      </c>
      <c r="Q111" s="81" t="s">
        <v>413</v>
      </c>
      <c r="R111" s="79" t="s">
        <v>413</v>
      </c>
      <c r="S111" s="79" t="s">
        <v>413</v>
      </c>
      <c r="T111" s="79">
        <v>5</v>
      </c>
      <c r="U111" s="79">
        <v>5</v>
      </c>
      <c r="V111" s="79">
        <v>5</v>
      </c>
      <c r="W111" s="78">
        <v>5</v>
      </c>
      <c r="X111" s="79">
        <v>5</v>
      </c>
      <c r="Y111" s="79">
        <v>5</v>
      </c>
      <c r="Z111" s="79">
        <v>5</v>
      </c>
      <c r="AA111" s="79">
        <v>5</v>
      </c>
      <c r="AB111" s="79">
        <v>5</v>
      </c>
      <c r="AC111" s="79">
        <v>5</v>
      </c>
      <c r="AD111" s="79">
        <v>5</v>
      </c>
      <c r="AE111" s="79">
        <v>5</v>
      </c>
      <c r="AF111" s="79">
        <v>5</v>
      </c>
      <c r="AG111" s="79">
        <v>5</v>
      </c>
    </row>
    <row r="112" spans="1:33" ht="24.95" customHeight="1" x14ac:dyDescent="0.25">
      <c r="A112" s="7">
        <v>110</v>
      </c>
      <c r="B112" s="7" t="s">
        <v>49</v>
      </c>
      <c r="C112" s="27" t="s">
        <v>95</v>
      </c>
      <c r="D112" s="28" t="s">
        <v>96</v>
      </c>
      <c r="E112" s="23">
        <v>5</v>
      </c>
      <c r="F112" s="80" t="s">
        <v>413</v>
      </c>
      <c r="G112" s="80" t="s">
        <v>413</v>
      </c>
      <c r="H112" s="80" t="s">
        <v>413</v>
      </c>
      <c r="I112" s="80" t="s">
        <v>413</v>
      </c>
      <c r="J112" s="80" t="s">
        <v>413</v>
      </c>
      <c r="K112" s="80" t="s">
        <v>413</v>
      </c>
      <c r="L112" s="80" t="s">
        <v>413</v>
      </c>
      <c r="M112" s="80" t="s">
        <v>413</v>
      </c>
      <c r="N112" s="80" t="s">
        <v>413</v>
      </c>
      <c r="O112" s="80" t="s">
        <v>413</v>
      </c>
      <c r="P112" s="80" t="s">
        <v>413</v>
      </c>
      <c r="Q112" s="80" t="s">
        <v>413</v>
      </c>
      <c r="R112" s="79" t="s">
        <v>413</v>
      </c>
      <c r="S112" s="81" t="s">
        <v>413</v>
      </c>
      <c r="T112" s="79">
        <v>5</v>
      </c>
      <c r="U112" s="79">
        <v>5</v>
      </c>
      <c r="V112" s="79">
        <v>5</v>
      </c>
      <c r="W112" s="78">
        <v>5</v>
      </c>
      <c r="X112" s="79">
        <v>5</v>
      </c>
      <c r="Y112" s="79">
        <v>5</v>
      </c>
      <c r="Z112" s="79">
        <v>5</v>
      </c>
      <c r="AA112" s="81">
        <v>5</v>
      </c>
      <c r="AB112" s="79">
        <v>5</v>
      </c>
      <c r="AC112" s="81">
        <v>2</v>
      </c>
      <c r="AD112" s="79">
        <v>5</v>
      </c>
      <c r="AE112" s="81">
        <v>2</v>
      </c>
      <c r="AF112" s="79">
        <v>5</v>
      </c>
      <c r="AG112" s="81">
        <v>3</v>
      </c>
    </row>
    <row r="113" spans="1:33" ht="24.95" customHeight="1" x14ac:dyDescent="0.25">
      <c r="A113" s="7">
        <v>111</v>
      </c>
      <c r="B113" s="7" t="s">
        <v>49</v>
      </c>
      <c r="C113" s="27" t="s">
        <v>212</v>
      </c>
      <c r="D113" s="28" t="s">
        <v>213</v>
      </c>
      <c r="E113" s="25">
        <v>5</v>
      </c>
      <c r="F113" s="80" t="s">
        <v>413</v>
      </c>
      <c r="G113" s="80" t="s">
        <v>413</v>
      </c>
      <c r="H113" s="80" t="s">
        <v>413</v>
      </c>
      <c r="I113" s="80" t="s">
        <v>413</v>
      </c>
      <c r="J113" s="80" t="s">
        <v>413</v>
      </c>
      <c r="K113" s="80" t="s">
        <v>413</v>
      </c>
      <c r="L113" s="80" t="s">
        <v>413</v>
      </c>
      <c r="M113" s="80" t="s">
        <v>413</v>
      </c>
      <c r="N113" s="80" t="s">
        <v>413</v>
      </c>
      <c r="O113" s="80" t="s">
        <v>413</v>
      </c>
      <c r="P113" s="80" t="s">
        <v>413</v>
      </c>
      <c r="Q113" s="80" t="s">
        <v>413</v>
      </c>
      <c r="R113" s="79" t="s">
        <v>413</v>
      </c>
      <c r="S113" s="79" t="s">
        <v>413</v>
      </c>
      <c r="T113" s="79">
        <v>5</v>
      </c>
      <c r="U113" s="79">
        <v>5</v>
      </c>
      <c r="V113" s="79">
        <v>5</v>
      </c>
      <c r="W113" s="78">
        <v>5</v>
      </c>
      <c r="X113" s="79">
        <v>5</v>
      </c>
      <c r="Y113" s="79">
        <v>5</v>
      </c>
      <c r="Z113" s="79">
        <v>5</v>
      </c>
      <c r="AA113" s="79">
        <v>5</v>
      </c>
      <c r="AB113" s="79">
        <v>5</v>
      </c>
      <c r="AC113" s="81">
        <v>2</v>
      </c>
      <c r="AD113" s="79">
        <v>5</v>
      </c>
      <c r="AE113" s="81">
        <v>2</v>
      </c>
      <c r="AF113" s="79">
        <v>5</v>
      </c>
      <c r="AG113" s="81">
        <v>3</v>
      </c>
    </row>
    <row r="114" spans="1:33" ht="24.95" customHeight="1" x14ac:dyDescent="0.25">
      <c r="A114" s="7">
        <v>112</v>
      </c>
      <c r="B114" s="7" t="s">
        <v>49</v>
      </c>
      <c r="C114" s="27" t="s">
        <v>214</v>
      </c>
      <c r="D114" s="28" t="s">
        <v>215</v>
      </c>
      <c r="E114" s="23">
        <v>1</v>
      </c>
      <c r="F114" s="25" t="s">
        <v>413</v>
      </c>
      <c r="G114" s="25" t="s">
        <v>413</v>
      </c>
      <c r="H114" s="25" t="s">
        <v>413</v>
      </c>
      <c r="I114" s="25" t="s">
        <v>413</v>
      </c>
      <c r="J114" s="25" t="s">
        <v>413</v>
      </c>
      <c r="K114" s="25" t="s">
        <v>413</v>
      </c>
      <c r="L114" s="25" t="s">
        <v>413</v>
      </c>
      <c r="M114" s="25" t="s">
        <v>413</v>
      </c>
      <c r="N114" s="25" t="s">
        <v>413</v>
      </c>
      <c r="O114" s="25" t="s">
        <v>413</v>
      </c>
      <c r="P114" s="25" t="s">
        <v>413</v>
      </c>
      <c r="Q114" s="25" t="s">
        <v>413</v>
      </c>
      <c r="R114" s="25" t="s">
        <v>413</v>
      </c>
      <c r="S114" s="25" t="s">
        <v>413</v>
      </c>
      <c r="T114" s="79">
        <v>5</v>
      </c>
      <c r="U114" s="25">
        <v>1</v>
      </c>
      <c r="V114" s="79">
        <v>5</v>
      </c>
      <c r="W114" s="78">
        <v>5</v>
      </c>
      <c r="X114" s="79">
        <v>5</v>
      </c>
      <c r="Y114" s="79">
        <v>1</v>
      </c>
      <c r="Z114" s="79">
        <v>5</v>
      </c>
      <c r="AA114" s="78">
        <v>5</v>
      </c>
      <c r="AB114" s="79">
        <v>5</v>
      </c>
      <c r="AC114" s="25">
        <v>1</v>
      </c>
      <c r="AD114" s="79">
        <v>5</v>
      </c>
      <c r="AE114" s="25">
        <v>5</v>
      </c>
      <c r="AF114" s="79">
        <v>5</v>
      </c>
      <c r="AG114" s="25">
        <v>1</v>
      </c>
    </row>
    <row r="115" spans="1:33" ht="24.95" customHeight="1" x14ac:dyDescent="0.25">
      <c r="A115" s="7">
        <v>113</v>
      </c>
      <c r="B115" s="7" t="s">
        <v>49</v>
      </c>
      <c r="C115" s="27" t="s">
        <v>69</v>
      </c>
      <c r="D115" s="28" t="s">
        <v>57</v>
      </c>
      <c r="E115" s="31">
        <v>3</v>
      </c>
      <c r="F115" s="81" t="s">
        <v>413</v>
      </c>
      <c r="G115" s="81" t="s">
        <v>413</v>
      </c>
      <c r="H115" s="81" t="s">
        <v>413</v>
      </c>
      <c r="I115" s="81" t="s">
        <v>413</v>
      </c>
      <c r="J115" s="81" t="s">
        <v>413</v>
      </c>
      <c r="K115" s="81" t="s">
        <v>413</v>
      </c>
      <c r="L115" s="81" t="s">
        <v>413</v>
      </c>
      <c r="M115" s="81" t="s">
        <v>413</v>
      </c>
      <c r="N115" s="81" t="s">
        <v>413</v>
      </c>
      <c r="O115" s="81" t="s">
        <v>413</v>
      </c>
      <c r="P115" s="81" t="s">
        <v>413</v>
      </c>
      <c r="Q115" s="81" t="s">
        <v>413</v>
      </c>
      <c r="R115" s="79" t="s">
        <v>413</v>
      </c>
      <c r="S115" s="79" t="s">
        <v>413</v>
      </c>
      <c r="T115" s="79">
        <v>5</v>
      </c>
      <c r="U115" s="79">
        <v>5</v>
      </c>
      <c r="V115" s="79">
        <v>5</v>
      </c>
      <c r="W115" s="78">
        <v>5</v>
      </c>
      <c r="X115" s="79">
        <v>5</v>
      </c>
      <c r="Y115" s="79">
        <v>5</v>
      </c>
      <c r="Z115" s="79">
        <v>5</v>
      </c>
      <c r="AA115" s="79">
        <v>5</v>
      </c>
      <c r="AB115" s="79">
        <v>5</v>
      </c>
      <c r="AC115" s="79">
        <v>5</v>
      </c>
      <c r="AD115" s="79">
        <v>5</v>
      </c>
      <c r="AE115" s="79">
        <v>4</v>
      </c>
      <c r="AF115" s="79">
        <v>5</v>
      </c>
      <c r="AG115" s="79">
        <v>5</v>
      </c>
    </row>
    <row r="116" spans="1:33" ht="24.95" customHeight="1" x14ac:dyDescent="0.25">
      <c r="A116" s="7">
        <v>114</v>
      </c>
      <c r="B116" s="7" t="s">
        <v>49</v>
      </c>
      <c r="C116" s="27" t="s">
        <v>58</v>
      </c>
      <c r="D116" s="28" t="s">
        <v>59</v>
      </c>
      <c r="E116" s="31">
        <v>2</v>
      </c>
      <c r="F116" s="81" t="s">
        <v>413</v>
      </c>
      <c r="G116" s="81" t="s">
        <v>413</v>
      </c>
      <c r="H116" s="81" t="s">
        <v>413</v>
      </c>
      <c r="I116" s="81" t="s">
        <v>413</v>
      </c>
      <c r="J116" s="81" t="s">
        <v>413</v>
      </c>
      <c r="K116" s="81" t="s">
        <v>413</v>
      </c>
      <c r="L116" s="81" t="s">
        <v>413</v>
      </c>
      <c r="M116" s="81" t="s">
        <v>413</v>
      </c>
      <c r="N116" s="81" t="s">
        <v>413</v>
      </c>
      <c r="O116" s="81" t="s">
        <v>413</v>
      </c>
      <c r="P116" s="81" t="s">
        <v>413</v>
      </c>
      <c r="Q116" s="81" t="s">
        <v>413</v>
      </c>
      <c r="R116" s="79" t="s">
        <v>413</v>
      </c>
      <c r="S116" s="79" t="s">
        <v>413</v>
      </c>
      <c r="T116" s="79">
        <v>5</v>
      </c>
      <c r="U116" s="79">
        <v>5</v>
      </c>
      <c r="V116" s="79">
        <v>5</v>
      </c>
      <c r="W116" s="78">
        <v>5</v>
      </c>
      <c r="X116" s="79">
        <v>5</v>
      </c>
      <c r="Y116" s="79">
        <v>5</v>
      </c>
      <c r="Z116" s="79">
        <v>5</v>
      </c>
      <c r="AA116" s="79">
        <v>5</v>
      </c>
      <c r="AB116" s="79">
        <v>5</v>
      </c>
      <c r="AC116" s="79">
        <v>5</v>
      </c>
      <c r="AD116" s="79">
        <v>5</v>
      </c>
      <c r="AE116" s="79">
        <v>5</v>
      </c>
      <c r="AF116" s="79">
        <v>5</v>
      </c>
      <c r="AG116" s="79">
        <v>5</v>
      </c>
    </row>
    <row r="117" spans="1:33" ht="24.95" customHeight="1" x14ac:dyDescent="0.25">
      <c r="A117" s="7">
        <v>115</v>
      </c>
      <c r="B117" s="7" t="s">
        <v>49</v>
      </c>
      <c r="C117" s="27" t="s">
        <v>60</v>
      </c>
      <c r="D117" s="28" t="s">
        <v>61</v>
      </c>
      <c r="E117" s="31">
        <v>2</v>
      </c>
      <c r="F117" s="81" t="s">
        <v>413</v>
      </c>
      <c r="G117" s="81" t="s">
        <v>413</v>
      </c>
      <c r="H117" s="81" t="s">
        <v>413</v>
      </c>
      <c r="I117" s="81" t="s">
        <v>413</v>
      </c>
      <c r="J117" s="81" t="s">
        <v>413</v>
      </c>
      <c r="K117" s="81" t="s">
        <v>413</v>
      </c>
      <c r="L117" s="81" t="s">
        <v>413</v>
      </c>
      <c r="M117" s="81" t="s">
        <v>413</v>
      </c>
      <c r="N117" s="81" t="s">
        <v>413</v>
      </c>
      <c r="O117" s="81" t="s">
        <v>413</v>
      </c>
      <c r="P117" s="81" t="s">
        <v>413</v>
      </c>
      <c r="Q117" s="81" t="s">
        <v>413</v>
      </c>
      <c r="R117" s="79" t="s">
        <v>413</v>
      </c>
      <c r="S117" s="79" t="s">
        <v>413</v>
      </c>
      <c r="T117" s="79">
        <v>5</v>
      </c>
      <c r="U117" s="79">
        <v>5</v>
      </c>
      <c r="V117" s="79">
        <v>5</v>
      </c>
      <c r="W117" s="78">
        <v>5</v>
      </c>
      <c r="X117" s="79">
        <v>5</v>
      </c>
      <c r="Y117" s="79">
        <v>5</v>
      </c>
      <c r="Z117" s="79">
        <v>5</v>
      </c>
      <c r="AA117" s="79">
        <v>5</v>
      </c>
      <c r="AB117" s="79">
        <v>5</v>
      </c>
      <c r="AC117" s="79">
        <v>5</v>
      </c>
      <c r="AD117" s="79">
        <v>5</v>
      </c>
      <c r="AE117" s="79">
        <v>5</v>
      </c>
      <c r="AF117" s="79">
        <v>5</v>
      </c>
      <c r="AG117" s="79">
        <v>5</v>
      </c>
    </row>
    <row r="118" spans="1:33" ht="24.95" customHeight="1" x14ac:dyDescent="0.25">
      <c r="A118" s="7">
        <v>116</v>
      </c>
      <c r="B118" s="7" t="s">
        <v>49</v>
      </c>
      <c r="C118" s="27" t="s">
        <v>62</v>
      </c>
      <c r="D118" s="28" t="s">
        <v>63</v>
      </c>
      <c r="E118" s="31">
        <v>3</v>
      </c>
      <c r="F118" s="81" t="s">
        <v>413</v>
      </c>
      <c r="G118" s="81" t="s">
        <v>413</v>
      </c>
      <c r="H118" s="81" t="s">
        <v>413</v>
      </c>
      <c r="I118" s="81" t="s">
        <v>413</v>
      </c>
      <c r="J118" s="81" t="s">
        <v>413</v>
      </c>
      <c r="K118" s="81" t="s">
        <v>413</v>
      </c>
      <c r="L118" s="81" t="s">
        <v>413</v>
      </c>
      <c r="M118" s="81" t="s">
        <v>413</v>
      </c>
      <c r="N118" s="81" t="s">
        <v>413</v>
      </c>
      <c r="O118" s="81" t="s">
        <v>413</v>
      </c>
      <c r="P118" s="81" t="s">
        <v>413</v>
      </c>
      <c r="Q118" s="81" t="s">
        <v>413</v>
      </c>
      <c r="R118" s="79" t="s">
        <v>413</v>
      </c>
      <c r="S118" s="79" t="s">
        <v>413</v>
      </c>
      <c r="T118" s="79">
        <v>5</v>
      </c>
      <c r="U118" s="79">
        <v>5</v>
      </c>
      <c r="V118" s="79">
        <v>5</v>
      </c>
      <c r="W118" s="78">
        <v>5</v>
      </c>
      <c r="X118" s="79">
        <v>5</v>
      </c>
      <c r="Y118" s="79">
        <v>5</v>
      </c>
      <c r="Z118" s="79">
        <v>5</v>
      </c>
      <c r="AA118" s="79">
        <v>5</v>
      </c>
      <c r="AB118" s="79">
        <v>5</v>
      </c>
      <c r="AC118" s="79">
        <v>5</v>
      </c>
      <c r="AD118" s="79">
        <v>5</v>
      </c>
      <c r="AE118" s="79">
        <v>5</v>
      </c>
      <c r="AF118" s="79">
        <v>5</v>
      </c>
      <c r="AG118" s="79">
        <v>5</v>
      </c>
    </row>
    <row r="119" spans="1:33" ht="24.95" customHeight="1" x14ac:dyDescent="0.25">
      <c r="A119" s="7">
        <v>117</v>
      </c>
      <c r="B119" s="7" t="s">
        <v>49</v>
      </c>
      <c r="C119" s="27" t="s">
        <v>64</v>
      </c>
      <c r="D119" s="28" t="s">
        <v>65</v>
      </c>
      <c r="E119" s="25">
        <v>4</v>
      </c>
      <c r="F119" s="80" t="s">
        <v>413</v>
      </c>
      <c r="G119" s="80" t="s">
        <v>413</v>
      </c>
      <c r="H119" s="80" t="s">
        <v>413</v>
      </c>
      <c r="I119" s="80" t="s">
        <v>413</v>
      </c>
      <c r="J119" s="80" t="s">
        <v>413</v>
      </c>
      <c r="K119" s="80" t="s">
        <v>413</v>
      </c>
      <c r="L119" s="80" t="s">
        <v>413</v>
      </c>
      <c r="M119" s="80" t="s">
        <v>413</v>
      </c>
      <c r="N119" s="80" t="s">
        <v>413</v>
      </c>
      <c r="O119" s="78" t="s">
        <v>413</v>
      </c>
      <c r="P119" s="78" t="s">
        <v>413</v>
      </c>
      <c r="Q119" s="78" t="s">
        <v>413</v>
      </c>
      <c r="R119" s="81" t="s">
        <v>413</v>
      </c>
      <c r="S119" s="81" t="s">
        <v>413</v>
      </c>
      <c r="T119" s="79">
        <v>5</v>
      </c>
      <c r="U119" s="81">
        <v>5</v>
      </c>
      <c r="V119" s="79">
        <v>5</v>
      </c>
      <c r="W119" s="78">
        <v>5</v>
      </c>
      <c r="X119" s="79">
        <v>5</v>
      </c>
      <c r="Y119" s="79">
        <v>5</v>
      </c>
      <c r="Z119" s="79">
        <v>5</v>
      </c>
      <c r="AA119" s="79">
        <v>5</v>
      </c>
      <c r="AB119" s="79">
        <v>5</v>
      </c>
      <c r="AC119" s="81">
        <v>5</v>
      </c>
      <c r="AD119" s="79">
        <v>5</v>
      </c>
      <c r="AE119" s="81">
        <v>5</v>
      </c>
      <c r="AF119" s="79">
        <v>5</v>
      </c>
      <c r="AG119" s="81">
        <v>5</v>
      </c>
    </row>
    <row r="120" spans="1:33" ht="24.95" customHeight="1" x14ac:dyDescent="0.25">
      <c r="A120" s="7">
        <v>118</v>
      </c>
      <c r="B120" s="7" t="s">
        <v>49</v>
      </c>
      <c r="C120" s="27" t="s">
        <v>216</v>
      </c>
      <c r="D120" s="28" t="s">
        <v>217</v>
      </c>
      <c r="E120" s="31">
        <v>2</v>
      </c>
      <c r="F120" s="81" t="s">
        <v>413</v>
      </c>
      <c r="G120" s="81" t="s">
        <v>413</v>
      </c>
      <c r="H120" s="81" t="s">
        <v>413</v>
      </c>
      <c r="I120" s="81" t="s">
        <v>413</v>
      </c>
      <c r="J120" s="81" t="s">
        <v>413</v>
      </c>
      <c r="K120" s="81" t="s">
        <v>413</v>
      </c>
      <c r="L120" s="81" t="s">
        <v>413</v>
      </c>
      <c r="M120" s="81" t="s">
        <v>413</v>
      </c>
      <c r="N120" s="81" t="s">
        <v>413</v>
      </c>
      <c r="O120" s="81" t="s">
        <v>413</v>
      </c>
      <c r="P120" s="81" t="s">
        <v>413</v>
      </c>
      <c r="Q120" s="81" t="s">
        <v>413</v>
      </c>
      <c r="R120" s="79" t="s">
        <v>413</v>
      </c>
      <c r="S120" s="79" t="s">
        <v>413</v>
      </c>
      <c r="T120" s="79">
        <v>5</v>
      </c>
      <c r="U120" s="79">
        <v>5</v>
      </c>
      <c r="V120" s="79">
        <v>5</v>
      </c>
      <c r="W120" s="78">
        <v>5</v>
      </c>
      <c r="X120" s="79">
        <v>5</v>
      </c>
      <c r="Y120" s="79">
        <v>5</v>
      </c>
      <c r="Z120" s="79">
        <v>5</v>
      </c>
      <c r="AA120" s="79">
        <v>5</v>
      </c>
      <c r="AB120" s="79">
        <v>5</v>
      </c>
      <c r="AC120" s="79">
        <v>5</v>
      </c>
      <c r="AD120" s="79">
        <v>5</v>
      </c>
      <c r="AE120" s="79">
        <v>5</v>
      </c>
      <c r="AF120" s="79">
        <v>5</v>
      </c>
      <c r="AG120" s="79">
        <v>5</v>
      </c>
    </row>
    <row r="121" spans="1:33" ht="24.95" customHeight="1" x14ac:dyDescent="0.25">
      <c r="A121" s="7">
        <v>119</v>
      </c>
      <c r="B121" s="7" t="s">
        <v>49</v>
      </c>
      <c r="C121" s="27" t="s">
        <v>218</v>
      </c>
      <c r="D121" s="28" t="s">
        <v>219</v>
      </c>
      <c r="E121" s="31">
        <v>3</v>
      </c>
      <c r="F121" s="80" t="s">
        <v>413</v>
      </c>
      <c r="G121" s="80" t="s">
        <v>413</v>
      </c>
      <c r="H121" s="80" t="s">
        <v>413</v>
      </c>
      <c r="I121" s="80" t="s">
        <v>413</v>
      </c>
      <c r="J121" s="80" t="s">
        <v>413</v>
      </c>
      <c r="K121" s="80" t="s">
        <v>413</v>
      </c>
      <c r="L121" s="80" t="s">
        <v>413</v>
      </c>
      <c r="M121" s="80" t="s">
        <v>413</v>
      </c>
      <c r="N121" s="80" t="s">
        <v>413</v>
      </c>
      <c r="O121" s="78" t="s">
        <v>413</v>
      </c>
      <c r="P121" s="78" t="s">
        <v>413</v>
      </c>
      <c r="Q121" s="78" t="s">
        <v>413</v>
      </c>
      <c r="R121" s="81" t="s">
        <v>413</v>
      </c>
      <c r="S121" s="79" t="s">
        <v>413</v>
      </c>
      <c r="T121" s="79">
        <v>5</v>
      </c>
      <c r="U121" s="81">
        <v>5</v>
      </c>
      <c r="V121" s="79">
        <v>5</v>
      </c>
      <c r="W121" s="78">
        <v>5</v>
      </c>
      <c r="X121" s="79">
        <v>5</v>
      </c>
      <c r="Y121" s="79">
        <v>5</v>
      </c>
      <c r="Z121" s="79">
        <v>5</v>
      </c>
      <c r="AA121" s="79">
        <v>5</v>
      </c>
      <c r="AB121" s="79">
        <v>5</v>
      </c>
      <c r="AC121" s="81">
        <v>5</v>
      </c>
      <c r="AD121" s="79">
        <v>5</v>
      </c>
      <c r="AE121" s="81">
        <v>5</v>
      </c>
      <c r="AF121" s="79">
        <v>5</v>
      </c>
      <c r="AG121" s="81">
        <v>5</v>
      </c>
    </row>
    <row r="122" spans="1:33" ht="24.95" customHeight="1" x14ac:dyDescent="0.25">
      <c r="A122" s="7">
        <v>120</v>
      </c>
      <c r="B122" s="7" t="s">
        <v>49</v>
      </c>
      <c r="C122" s="27" t="s">
        <v>97</v>
      </c>
      <c r="D122" s="28" t="s">
        <v>220</v>
      </c>
      <c r="E122" s="25">
        <v>5</v>
      </c>
      <c r="F122" s="80" t="s">
        <v>413</v>
      </c>
      <c r="G122" s="80" t="s">
        <v>413</v>
      </c>
      <c r="H122" s="80" t="s">
        <v>413</v>
      </c>
      <c r="I122" s="80" t="s">
        <v>413</v>
      </c>
      <c r="J122" s="80" t="s">
        <v>413</v>
      </c>
      <c r="K122" s="80" t="s">
        <v>413</v>
      </c>
      <c r="L122" s="80" t="s">
        <v>413</v>
      </c>
      <c r="M122" s="80" t="s">
        <v>413</v>
      </c>
      <c r="N122" s="80" t="s">
        <v>413</v>
      </c>
      <c r="O122" s="80" t="s">
        <v>413</v>
      </c>
      <c r="P122" s="80" t="s">
        <v>413</v>
      </c>
      <c r="Q122" s="80" t="s">
        <v>413</v>
      </c>
      <c r="R122" s="79" t="s">
        <v>413</v>
      </c>
      <c r="S122" s="81" t="s">
        <v>413</v>
      </c>
      <c r="T122" s="79">
        <v>5</v>
      </c>
      <c r="U122" s="79">
        <v>5</v>
      </c>
      <c r="V122" s="79">
        <v>5</v>
      </c>
      <c r="W122" s="78">
        <v>5</v>
      </c>
      <c r="X122" s="79">
        <v>5</v>
      </c>
      <c r="Y122" s="79">
        <v>5</v>
      </c>
      <c r="Z122" s="79">
        <v>5</v>
      </c>
      <c r="AA122" s="79">
        <v>3</v>
      </c>
      <c r="AB122" s="79">
        <v>5</v>
      </c>
      <c r="AC122" s="81">
        <v>3</v>
      </c>
      <c r="AD122" s="79">
        <v>5</v>
      </c>
      <c r="AE122" s="81">
        <v>2</v>
      </c>
      <c r="AF122" s="79">
        <v>5</v>
      </c>
      <c r="AG122" s="81">
        <v>3</v>
      </c>
    </row>
    <row r="123" spans="1:33" ht="24.95" customHeight="1" x14ac:dyDescent="0.25">
      <c r="A123" s="7">
        <v>121</v>
      </c>
      <c r="B123" s="7" t="s">
        <v>49</v>
      </c>
      <c r="C123" s="27" t="s">
        <v>98</v>
      </c>
      <c r="D123" s="28" t="s">
        <v>99</v>
      </c>
      <c r="E123" s="25">
        <v>4</v>
      </c>
      <c r="F123" s="80" t="s">
        <v>413</v>
      </c>
      <c r="G123" s="80" t="s">
        <v>413</v>
      </c>
      <c r="H123" s="80" t="s">
        <v>413</v>
      </c>
      <c r="I123" s="80" t="s">
        <v>413</v>
      </c>
      <c r="J123" s="80" t="s">
        <v>413</v>
      </c>
      <c r="K123" s="80" t="s">
        <v>413</v>
      </c>
      <c r="L123" s="80" t="s">
        <v>413</v>
      </c>
      <c r="M123" s="80" t="s">
        <v>413</v>
      </c>
      <c r="N123" s="80" t="s">
        <v>413</v>
      </c>
      <c r="O123" s="78" t="s">
        <v>413</v>
      </c>
      <c r="P123" s="78" t="s">
        <v>413</v>
      </c>
      <c r="Q123" s="78" t="s">
        <v>413</v>
      </c>
      <c r="R123" s="79" t="s">
        <v>413</v>
      </c>
      <c r="S123" s="79" t="s">
        <v>413</v>
      </c>
      <c r="T123" s="79">
        <v>5</v>
      </c>
      <c r="U123" s="79">
        <v>5</v>
      </c>
      <c r="V123" s="79">
        <v>5</v>
      </c>
      <c r="W123" s="78">
        <v>5</v>
      </c>
      <c r="X123" s="79">
        <v>5</v>
      </c>
      <c r="Y123" s="79">
        <v>5</v>
      </c>
      <c r="Z123" s="79">
        <v>5</v>
      </c>
      <c r="AA123" s="79">
        <v>3</v>
      </c>
      <c r="AB123" s="79">
        <v>5</v>
      </c>
      <c r="AC123" s="81">
        <v>3</v>
      </c>
      <c r="AD123" s="79">
        <v>5</v>
      </c>
      <c r="AE123" s="81">
        <v>3</v>
      </c>
      <c r="AF123" s="79">
        <v>5</v>
      </c>
      <c r="AG123" s="81">
        <v>3</v>
      </c>
    </row>
    <row r="124" spans="1:33" ht="24.95" customHeight="1" x14ac:dyDescent="0.25">
      <c r="A124" s="7">
        <v>122</v>
      </c>
      <c r="B124" s="7" t="s">
        <v>49</v>
      </c>
      <c r="C124" s="27" t="s">
        <v>100</v>
      </c>
      <c r="D124" s="28" t="s">
        <v>101</v>
      </c>
      <c r="E124" s="25">
        <v>4</v>
      </c>
      <c r="F124" s="80" t="s">
        <v>413</v>
      </c>
      <c r="G124" s="80" t="s">
        <v>413</v>
      </c>
      <c r="H124" s="80" t="s">
        <v>413</v>
      </c>
      <c r="I124" s="80" t="s">
        <v>413</v>
      </c>
      <c r="J124" s="80" t="s">
        <v>413</v>
      </c>
      <c r="K124" s="80" t="s">
        <v>413</v>
      </c>
      <c r="L124" s="80" t="s">
        <v>413</v>
      </c>
      <c r="M124" s="80" t="s">
        <v>413</v>
      </c>
      <c r="N124" s="80" t="s">
        <v>413</v>
      </c>
      <c r="O124" s="78" t="s">
        <v>413</v>
      </c>
      <c r="P124" s="78" t="s">
        <v>413</v>
      </c>
      <c r="Q124" s="78" t="s">
        <v>413</v>
      </c>
      <c r="R124" s="79" t="s">
        <v>413</v>
      </c>
      <c r="S124" s="79" t="s">
        <v>413</v>
      </c>
      <c r="T124" s="79">
        <v>5</v>
      </c>
      <c r="U124" s="79">
        <v>5</v>
      </c>
      <c r="V124" s="79">
        <v>5</v>
      </c>
      <c r="W124" s="78">
        <v>5</v>
      </c>
      <c r="X124" s="79">
        <v>5</v>
      </c>
      <c r="Y124" s="79">
        <v>5</v>
      </c>
      <c r="Z124" s="79">
        <v>5</v>
      </c>
      <c r="AA124" s="79">
        <v>5</v>
      </c>
      <c r="AB124" s="79">
        <v>5</v>
      </c>
      <c r="AC124" s="81">
        <v>5</v>
      </c>
      <c r="AD124" s="79">
        <v>5</v>
      </c>
      <c r="AE124" s="81">
        <v>3</v>
      </c>
      <c r="AF124" s="79">
        <v>5</v>
      </c>
      <c r="AG124" s="81">
        <v>5</v>
      </c>
    </row>
    <row r="125" spans="1:33" ht="24.95" customHeight="1" x14ac:dyDescent="0.25">
      <c r="A125" s="7">
        <v>123</v>
      </c>
      <c r="B125" s="7" t="s">
        <v>49</v>
      </c>
      <c r="C125" s="27" t="s">
        <v>221</v>
      </c>
      <c r="D125" s="28" t="s">
        <v>222</v>
      </c>
      <c r="E125" s="25">
        <v>4</v>
      </c>
      <c r="F125" s="80" t="s">
        <v>413</v>
      </c>
      <c r="G125" s="80" t="s">
        <v>413</v>
      </c>
      <c r="H125" s="80" t="s">
        <v>413</v>
      </c>
      <c r="I125" s="80" t="s">
        <v>413</v>
      </c>
      <c r="J125" s="80" t="s">
        <v>413</v>
      </c>
      <c r="K125" s="80" t="s">
        <v>413</v>
      </c>
      <c r="L125" s="80" t="s">
        <v>413</v>
      </c>
      <c r="M125" s="80" t="s">
        <v>413</v>
      </c>
      <c r="N125" s="80" t="s">
        <v>413</v>
      </c>
      <c r="O125" s="78" t="s">
        <v>413</v>
      </c>
      <c r="P125" s="78" t="s">
        <v>413</v>
      </c>
      <c r="Q125" s="78" t="s">
        <v>413</v>
      </c>
      <c r="R125" s="79" t="s">
        <v>413</v>
      </c>
      <c r="S125" s="79" t="s">
        <v>413</v>
      </c>
      <c r="T125" s="79">
        <v>5</v>
      </c>
      <c r="U125" s="79">
        <v>5</v>
      </c>
      <c r="V125" s="79">
        <v>5</v>
      </c>
      <c r="W125" s="78">
        <v>5</v>
      </c>
      <c r="X125" s="79">
        <v>5</v>
      </c>
      <c r="Y125" s="79">
        <v>5</v>
      </c>
      <c r="Z125" s="79">
        <v>5</v>
      </c>
      <c r="AA125" s="79">
        <v>5</v>
      </c>
      <c r="AB125" s="79">
        <v>5</v>
      </c>
      <c r="AC125" s="81">
        <v>5</v>
      </c>
      <c r="AD125" s="79">
        <v>5</v>
      </c>
      <c r="AE125" s="81">
        <v>3</v>
      </c>
      <c r="AF125" s="79">
        <v>5</v>
      </c>
      <c r="AG125" s="81">
        <v>5</v>
      </c>
    </row>
    <row r="126" spans="1:33" ht="24.95" customHeight="1" x14ac:dyDescent="0.25">
      <c r="A126" s="7">
        <v>124</v>
      </c>
      <c r="B126" s="7" t="s">
        <v>49</v>
      </c>
      <c r="C126" s="27" t="s">
        <v>153</v>
      </c>
      <c r="D126" s="28" t="s">
        <v>154</v>
      </c>
      <c r="E126" s="25">
        <v>5</v>
      </c>
      <c r="F126" s="80" t="s">
        <v>413</v>
      </c>
      <c r="G126" s="80" t="s">
        <v>413</v>
      </c>
      <c r="H126" s="80" t="s">
        <v>413</v>
      </c>
      <c r="I126" s="80" t="s">
        <v>413</v>
      </c>
      <c r="J126" s="80" t="s">
        <v>413</v>
      </c>
      <c r="K126" s="80" t="s">
        <v>413</v>
      </c>
      <c r="L126" s="80" t="s">
        <v>413</v>
      </c>
      <c r="M126" s="80" t="s">
        <v>413</v>
      </c>
      <c r="N126" s="80" t="s">
        <v>413</v>
      </c>
      <c r="O126" s="80" t="s">
        <v>413</v>
      </c>
      <c r="P126" s="80" t="s">
        <v>413</v>
      </c>
      <c r="Q126" s="80" t="s">
        <v>413</v>
      </c>
      <c r="R126" s="81" t="s">
        <v>413</v>
      </c>
      <c r="S126" s="79" t="s">
        <v>413</v>
      </c>
      <c r="T126" s="79">
        <v>5</v>
      </c>
      <c r="U126" s="81">
        <v>3</v>
      </c>
      <c r="V126" s="79">
        <v>5</v>
      </c>
      <c r="W126" s="78">
        <v>5</v>
      </c>
      <c r="X126" s="79">
        <v>5</v>
      </c>
      <c r="Y126" s="79">
        <v>3</v>
      </c>
      <c r="Z126" s="79">
        <v>5</v>
      </c>
      <c r="AA126" s="81">
        <v>5</v>
      </c>
      <c r="AB126" s="79">
        <v>5</v>
      </c>
      <c r="AC126" s="81">
        <v>3</v>
      </c>
      <c r="AD126" s="79">
        <v>5</v>
      </c>
      <c r="AE126" s="79">
        <v>5</v>
      </c>
      <c r="AF126" s="79">
        <v>5</v>
      </c>
      <c r="AG126" s="79">
        <v>3</v>
      </c>
    </row>
    <row r="127" spans="1:33" ht="24.95" customHeight="1" x14ac:dyDescent="0.25">
      <c r="A127" s="7">
        <v>125</v>
      </c>
      <c r="B127" s="7" t="s">
        <v>49</v>
      </c>
      <c r="C127" s="27" t="s">
        <v>155</v>
      </c>
      <c r="D127" s="28" t="s">
        <v>156</v>
      </c>
      <c r="E127" s="25">
        <v>4</v>
      </c>
      <c r="F127" s="80" t="s">
        <v>413</v>
      </c>
      <c r="G127" s="80" t="s">
        <v>413</v>
      </c>
      <c r="H127" s="80" t="s">
        <v>413</v>
      </c>
      <c r="I127" s="80" t="s">
        <v>413</v>
      </c>
      <c r="J127" s="80" t="s">
        <v>413</v>
      </c>
      <c r="K127" s="80" t="s">
        <v>413</v>
      </c>
      <c r="L127" s="80" t="s">
        <v>413</v>
      </c>
      <c r="M127" s="80" t="s">
        <v>413</v>
      </c>
      <c r="N127" s="80" t="s">
        <v>413</v>
      </c>
      <c r="O127" s="78" t="s">
        <v>413</v>
      </c>
      <c r="P127" s="78" t="s">
        <v>413</v>
      </c>
      <c r="Q127" s="78" t="s">
        <v>413</v>
      </c>
      <c r="R127" s="79" t="s">
        <v>413</v>
      </c>
      <c r="S127" s="79" t="s">
        <v>413</v>
      </c>
      <c r="T127" s="79">
        <v>5</v>
      </c>
      <c r="U127" s="79">
        <v>5</v>
      </c>
      <c r="V127" s="79">
        <v>5</v>
      </c>
      <c r="W127" s="78">
        <v>5</v>
      </c>
      <c r="X127" s="79">
        <v>5</v>
      </c>
      <c r="Y127" s="79">
        <v>5</v>
      </c>
      <c r="Z127" s="79">
        <v>5</v>
      </c>
      <c r="AA127" s="79">
        <v>5</v>
      </c>
      <c r="AB127" s="79">
        <v>5</v>
      </c>
      <c r="AC127" s="79">
        <v>5</v>
      </c>
      <c r="AD127" s="79">
        <v>5</v>
      </c>
      <c r="AE127" s="79">
        <v>3</v>
      </c>
      <c r="AF127" s="79">
        <v>5</v>
      </c>
      <c r="AG127" s="79">
        <v>5</v>
      </c>
    </row>
    <row r="128" spans="1:33" ht="24.95" customHeight="1" x14ac:dyDescent="0.25">
      <c r="A128" s="7">
        <v>126</v>
      </c>
      <c r="B128" s="7" t="s">
        <v>49</v>
      </c>
      <c r="C128" s="27" t="s">
        <v>223</v>
      </c>
      <c r="D128" s="28" t="s">
        <v>224</v>
      </c>
      <c r="E128" s="31">
        <v>3</v>
      </c>
      <c r="F128" s="81" t="s">
        <v>413</v>
      </c>
      <c r="G128" s="81" t="s">
        <v>413</v>
      </c>
      <c r="H128" s="81" t="s">
        <v>413</v>
      </c>
      <c r="I128" s="81" t="s">
        <v>413</v>
      </c>
      <c r="J128" s="81" t="s">
        <v>413</v>
      </c>
      <c r="K128" s="81" t="s">
        <v>413</v>
      </c>
      <c r="L128" s="81" t="s">
        <v>413</v>
      </c>
      <c r="M128" s="81" t="s">
        <v>413</v>
      </c>
      <c r="N128" s="81" t="s">
        <v>413</v>
      </c>
      <c r="O128" s="81" t="s">
        <v>413</v>
      </c>
      <c r="P128" s="81" t="s">
        <v>413</v>
      </c>
      <c r="Q128" s="81" t="s">
        <v>413</v>
      </c>
      <c r="R128" s="79" t="s">
        <v>413</v>
      </c>
      <c r="S128" s="79" t="s">
        <v>413</v>
      </c>
      <c r="T128" s="79">
        <v>5</v>
      </c>
      <c r="U128" s="79">
        <v>5</v>
      </c>
      <c r="V128" s="79">
        <v>5</v>
      </c>
      <c r="W128" s="78">
        <v>5</v>
      </c>
      <c r="X128" s="79">
        <v>5</v>
      </c>
      <c r="Y128" s="79">
        <v>5</v>
      </c>
      <c r="Z128" s="79">
        <v>5</v>
      </c>
      <c r="AA128" s="79">
        <v>5</v>
      </c>
      <c r="AB128" s="79">
        <v>5</v>
      </c>
      <c r="AC128" s="79">
        <v>5</v>
      </c>
      <c r="AD128" s="79">
        <v>5</v>
      </c>
      <c r="AE128" s="79">
        <v>5</v>
      </c>
      <c r="AF128" s="79">
        <v>5</v>
      </c>
      <c r="AG128" s="79">
        <v>5</v>
      </c>
    </row>
    <row r="129" spans="1:33" ht="24.95" customHeight="1" x14ac:dyDescent="0.25">
      <c r="A129" s="7">
        <v>127</v>
      </c>
      <c r="B129" s="7" t="s">
        <v>49</v>
      </c>
      <c r="C129" s="27" t="s">
        <v>225</v>
      </c>
      <c r="D129" s="28" t="s">
        <v>226</v>
      </c>
      <c r="E129" s="31">
        <v>3</v>
      </c>
      <c r="F129" s="81" t="s">
        <v>413</v>
      </c>
      <c r="G129" s="81" t="s">
        <v>413</v>
      </c>
      <c r="H129" s="81" t="s">
        <v>413</v>
      </c>
      <c r="I129" s="81" t="s">
        <v>413</v>
      </c>
      <c r="J129" s="81" t="s">
        <v>413</v>
      </c>
      <c r="K129" s="81" t="s">
        <v>413</v>
      </c>
      <c r="L129" s="81" t="s">
        <v>413</v>
      </c>
      <c r="M129" s="81" t="s">
        <v>413</v>
      </c>
      <c r="N129" s="81" t="s">
        <v>413</v>
      </c>
      <c r="O129" s="81" t="s">
        <v>413</v>
      </c>
      <c r="P129" s="81" t="s">
        <v>413</v>
      </c>
      <c r="Q129" s="81" t="s">
        <v>413</v>
      </c>
      <c r="R129" s="79" t="s">
        <v>413</v>
      </c>
      <c r="S129" s="79" t="s">
        <v>413</v>
      </c>
      <c r="T129" s="79">
        <v>5</v>
      </c>
      <c r="U129" s="79">
        <v>5</v>
      </c>
      <c r="V129" s="79">
        <v>5</v>
      </c>
      <c r="W129" s="78">
        <v>5</v>
      </c>
      <c r="X129" s="79">
        <v>5</v>
      </c>
      <c r="Y129" s="79">
        <v>5</v>
      </c>
      <c r="Z129" s="79">
        <v>5</v>
      </c>
      <c r="AA129" s="79">
        <v>5</v>
      </c>
      <c r="AB129" s="79">
        <v>5</v>
      </c>
      <c r="AC129" s="79">
        <v>5</v>
      </c>
      <c r="AD129" s="79">
        <v>5</v>
      </c>
      <c r="AE129" s="79">
        <v>5</v>
      </c>
      <c r="AF129" s="79">
        <v>5</v>
      </c>
      <c r="AG129" s="79">
        <v>5</v>
      </c>
    </row>
    <row r="130" spans="1:33" ht="24.95" customHeight="1" x14ac:dyDescent="0.25">
      <c r="A130" s="7">
        <v>128</v>
      </c>
      <c r="B130" s="7" t="s">
        <v>49</v>
      </c>
      <c r="C130" s="27" t="s">
        <v>102</v>
      </c>
      <c r="D130" s="28" t="s">
        <v>227</v>
      </c>
      <c r="E130" s="23">
        <v>5</v>
      </c>
      <c r="F130" s="80" t="s">
        <v>413</v>
      </c>
      <c r="G130" s="80" t="s">
        <v>413</v>
      </c>
      <c r="H130" s="80" t="s">
        <v>413</v>
      </c>
      <c r="I130" s="80" t="s">
        <v>413</v>
      </c>
      <c r="J130" s="80" t="s">
        <v>413</v>
      </c>
      <c r="K130" s="80" t="s">
        <v>413</v>
      </c>
      <c r="L130" s="80" t="s">
        <v>413</v>
      </c>
      <c r="M130" s="80" t="s">
        <v>413</v>
      </c>
      <c r="N130" s="80" t="s">
        <v>413</v>
      </c>
      <c r="O130" s="78" t="s">
        <v>413</v>
      </c>
      <c r="P130" s="78" t="s">
        <v>413</v>
      </c>
      <c r="Q130" s="78" t="s">
        <v>413</v>
      </c>
      <c r="R130" s="81" t="s">
        <v>413</v>
      </c>
      <c r="S130" s="81" t="s">
        <v>413</v>
      </c>
      <c r="T130" s="79">
        <v>5</v>
      </c>
      <c r="U130" s="81">
        <v>5</v>
      </c>
      <c r="V130" s="79">
        <v>5</v>
      </c>
      <c r="W130" s="78">
        <v>5</v>
      </c>
      <c r="X130" s="79">
        <v>5</v>
      </c>
      <c r="Y130" s="79">
        <v>5</v>
      </c>
      <c r="Z130" s="79">
        <v>5</v>
      </c>
      <c r="AA130" s="81">
        <v>5</v>
      </c>
      <c r="AB130" s="79">
        <v>5</v>
      </c>
      <c r="AC130" s="81">
        <v>2</v>
      </c>
      <c r="AD130" s="79">
        <v>5</v>
      </c>
      <c r="AE130" s="81">
        <v>2</v>
      </c>
      <c r="AF130" s="79">
        <v>5</v>
      </c>
      <c r="AG130" s="81">
        <v>2</v>
      </c>
    </row>
    <row r="131" spans="1:33" ht="24.95" customHeight="1" x14ac:dyDescent="0.25">
      <c r="A131" s="7">
        <v>129</v>
      </c>
      <c r="B131" s="7" t="s">
        <v>49</v>
      </c>
      <c r="C131" s="27" t="s">
        <v>76</v>
      </c>
      <c r="D131" s="28" t="s">
        <v>228</v>
      </c>
      <c r="E131" s="23">
        <v>5</v>
      </c>
      <c r="F131" s="80" t="s">
        <v>413</v>
      </c>
      <c r="G131" s="80" t="s">
        <v>413</v>
      </c>
      <c r="H131" s="80" t="s">
        <v>413</v>
      </c>
      <c r="I131" s="80" t="s">
        <v>413</v>
      </c>
      <c r="J131" s="80" t="s">
        <v>413</v>
      </c>
      <c r="K131" s="80" t="s">
        <v>413</v>
      </c>
      <c r="L131" s="80" t="s">
        <v>413</v>
      </c>
      <c r="M131" s="80" t="s">
        <v>413</v>
      </c>
      <c r="N131" s="80" t="s">
        <v>413</v>
      </c>
      <c r="O131" s="78" t="s">
        <v>413</v>
      </c>
      <c r="P131" s="78" t="s">
        <v>413</v>
      </c>
      <c r="Q131" s="78" t="s">
        <v>413</v>
      </c>
      <c r="R131" s="81" t="s">
        <v>413</v>
      </c>
      <c r="S131" s="81" t="s">
        <v>413</v>
      </c>
      <c r="T131" s="79">
        <v>5</v>
      </c>
      <c r="U131" s="81">
        <v>5</v>
      </c>
      <c r="V131" s="79">
        <v>5</v>
      </c>
      <c r="W131" s="78">
        <v>5</v>
      </c>
      <c r="X131" s="79">
        <v>5</v>
      </c>
      <c r="Y131" s="79">
        <v>5</v>
      </c>
      <c r="Z131" s="79">
        <v>5</v>
      </c>
      <c r="AA131" s="81">
        <v>5</v>
      </c>
      <c r="AB131" s="79">
        <v>5</v>
      </c>
      <c r="AC131" s="81">
        <v>2</v>
      </c>
      <c r="AD131" s="79">
        <v>5</v>
      </c>
      <c r="AE131" s="81">
        <v>2</v>
      </c>
      <c r="AF131" s="79">
        <v>5</v>
      </c>
      <c r="AG131" s="81">
        <v>2</v>
      </c>
    </row>
    <row r="132" spans="1:33" ht="24.95" customHeight="1" x14ac:dyDescent="0.25">
      <c r="A132" s="7">
        <v>130</v>
      </c>
      <c r="B132" s="7" t="s">
        <v>49</v>
      </c>
      <c r="C132" s="27" t="s">
        <v>229</v>
      </c>
      <c r="D132" s="28" t="s">
        <v>230</v>
      </c>
      <c r="E132" s="23">
        <v>2</v>
      </c>
      <c r="F132" s="25" t="s">
        <v>413</v>
      </c>
      <c r="G132" s="25" t="s">
        <v>413</v>
      </c>
      <c r="H132" s="25" t="s">
        <v>413</v>
      </c>
      <c r="I132" s="25" t="s">
        <v>413</v>
      </c>
      <c r="J132" s="25" t="s">
        <v>413</v>
      </c>
      <c r="K132" s="25" t="s">
        <v>413</v>
      </c>
      <c r="L132" s="25" t="s">
        <v>413</v>
      </c>
      <c r="M132" s="25" t="s">
        <v>413</v>
      </c>
      <c r="N132" s="25" t="s">
        <v>413</v>
      </c>
      <c r="O132" s="25" t="s">
        <v>413</v>
      </c>
      <c r="P132" s="25" t="s">
        <v>413</v>
      </c>
      <c r="Q132" s="25" t="s">
        <v>413</v>
      </c>
      <c r="R132" s="25" t="s">
        <v>413</v>
      </c>
      <c r="S132" s="25" t="s">
        <v>413</v>
      </c>
      <c r="T132" s="79">
        <v>5</v>
      </c>
      <c r="U132" s="25">
        <v>5</v>
      </c>
      <c r="V132" s="79">
        <v>5</v>
      </c>
      <c r="W132" s="78">
        <v>5</v>
      </c>
      <c r="X132" s="79">
        <v>5</v>
      </c>
      <c r="Y132" s="79">
        <v>5</v>
      </c>
      <c r="Z132" s="79">
        <v>5</v>
      </c>
      <c r="AA132" s="78">
        <v>5</v>
      </c>
      <c r="AB132" s="79">
        <v>5</v>
      </c>
      <c r="AC132" s="25">
        <v>3</v>
      </c>
      <c r="AD132" s="79">
        <v>5</v>
      </c>
      <c r="AE132" s="25">
        <v>5</v>
      </c>
      <c r="AF132" s="79">
        <v>5</v>
      </c>
      <c r="AG132" s="25">
        <v>5</v>
      </c>
    </row>
    <row r="133" spans="1:33" ht="24.95" customHeight="1" x14ac:dyDescent="0.25">
      <c r="A133" s="7">
        <v>131</v>
      </c>
      <c r="B133" s="7" t="s">
        <v>49</v>
      </c>
      <c r="C133" s="27" t="s">
        <v>235</v>
      </c>
      <c r="D133" s="28" t="s">
        <v>236</v>
      </c>
      <c r="E133" s="24">
        <v>5</v>
      </c>
      <c r="F133" s="81" t="s">
        <v>413</v>
      </c>
      <c r="G133" s="81" t="s">
        <v>413</v>
      </c>
      <c r="H133" s="81" t="s">
        <v>413</v>
      </c>
      <c r="I133" s="81" t="s">
        <v>413</v>
      </c>
      <c r="J133" s="81" t="s">
        <v>413</v>
      </c>
      <c r="K133" s="81" t="s">
        <v>413</v>
      </c>
      <c r="L133" s="81" t="s">
        <v>413</v>
      </c>
      <c r="M133" s="81" t="s">
        <v>413</v>
      </c>
      <c r="N133" s="81" t="s">
        <v>413</v>
      </c>
      <c r="O133" s="81" t="s">
        <v>413</v>
      </c>
      <c r="P133" s="81" t="s">
        <v>413</v>
      </c>
      <c r="Q133" s="81" t="s">
        <v>413</v>
      </c>
      <c r="R133" s="79" t="s">
        <v>413</v>
      </c>
      <c r="S133" s="79" t="s">
        <v>413</v>
      </c>
      <c r="T133" s="79">
        <v>5</v>
      </c>
      <c r="U133" s="79">
        <v>5</v>
      </c>
      <c r="V133" s="79">
        <v>5</v>
      </c>
      <c r="W133" s="78">
        <v>5</v>
      </c>
      <c r="X133" s="79">
        <v>5</v>
      </c>
      <c r="Y133" s="79">
        <v>3</v>
      </c>
      <c r="Z133" s="79">
        <v>5</v>
      </c>
      <c r="AA133" s="79">
        <v>3</v>
      </c>
      <c r="AB133" s="79">
        <v>5</v>
      </c>
      <c r="AC133" s="79">
        <v>3</v>
      </c>
      <c r="AD133" s="79">
        <v>5</v>
      </c>
      <c r="AE133" s="79">
        <v>3</v>
      </c>
      <c r="AF133" s="79">
        <v>5</v>
      </c>
      <c r="AG133" s="79">
        <v>5</v>
      </c>
    </row>
    <row r="134" spans="1:33" ht="24.95" customHeight="1" x14ac:dyDescent="0.25">
      <c r="A134" s="7">
        <v>132</v>
      </c>
      <c r="B134" s="7" t="s">
        <v>49</v>
      </c>
      <c r="C134" s="27" t="s">
        <v>237</v>
      </c>
      <c r="D134" s="28" t="s">
        <v>238</v>
      </c>
      <c r="E134" s="24">
        <v>2</v>
      </c>
      <c r="F134" s="81" t="s">
        <v>413</v>
      </c>
      <c r="G134" s="81" t="s">
        <v>413</v>
      </c>
      <c r="H134" s="81" t="s">
        <v>413</v>
      </c>
      <c r="I134" s="81" t="s">
        <v>413</v>
      </c>
      <c r="J134" s="81" t="s">
        <v>413</v>
      </c>
      <c r="K134" s="81" t="s">
        <v>413</v>
      </c>
      <c r="L134" s="81" t="s">
        <v>413</v>
      </c>
      <c r="M134" s="81" t="s">
        <v>413</v>
      </c>
      <c r="N134" s="81" t="s">
        <v>413</v>
      </c>
      <c r="O134" s="78" t="s">
        <v>413</v>
      </c>
      <c r="P134" s="78" t="s">
        <v>413</v>
      </c>
      <c r="Q134" s="78" t="s">
        <v>413</v>
      </c>
      <c r="R134" s="79" t="s">
        <v>413</v>
      </c>
      <c r="S134" s="79" t="s">
        <v>413</v>
      </c>
      <c r="T134" s="79">
        <v>5</v>
      </c>
      <c r="U134" s="79">
        <v>5</v>
      </c>
      <c r="V134" s="79">
        <v>5</v>
      </c>
      <c r="W134" s="78">
        <v>5</v>
      </c>
      <c r="X134" s="79">
        <v>5</v>
      </c>
      <c r="Y134" s="79">
        <v>5</v>
      </c>
      <c r="Z134" s="79">
        <v>5</v>
      </c>
      <c r="AA134" s="79">
        <v>5</v>
      </c>
      <c r="AB134" s="79">
        <v>5</v>
      </c>
      <c r="AC134" s="79">
        <v>5</v>
      </c>
      <c r="AD134" s="79">
        <v>5</v>
      </c>
      <c r="AE134" s="79">
        <v>5</v>
      </c>
      <c r="AF134" s="79">
        <v>5</v>
      </c>
      <c r="AG134" s="79">
        <v>5</v>
      </c>
    </row>
    <row r="135" spans="1:33" ht="24.95" customHeight="1" x14ac:dyDescent="0.25">
      <c r="A135" s="7">
        <v>133</v>
      </c>
      <c r="B135" s="7" t="s">
        <v>49</v>
      </c>
      <c r="C135" s="27" t="s">
        <v>239</v>
      </c>
      <c r="D135" s="28" t="s">
        <v>240</v>
      </c>
      <c r="E135" s="24">
        <v>2</v>
      </c>
      <c r="F135" s="81" t="s">
        <v>413</v>
      </c>
      <c r="G135" s="81" t="s">
        <v>413</v>
      </c>
      <c r="H135" s="81" t="s">
        <v>413</v>
      </c>
      <c r="I135" s="81" t="s">
        <v>413</v>
      </c>
      <c r="J135" s="81" t="s">
        <v>413</v>
      </c>
      <c r="K135" s="81" t="s">
        <v>413</v>
      </c>
      <c r="L135" s="81" t="s">
        <v>413</v>
      </c>
      <c r="M135" s="81" t="s">
        <v>413</v>
      </c>
      <c r="N135" s="81" t="s">
        <v>413</v>
      </c>
      <c r="O135" s="78" t="s">
        <v>413</v>
      </c>
      <c r="P135" s="78" t="s">
        <v>413</v>
      </c>
      <c r="Q135" s="78" t="s">
        <v>413</v>
      </c>
      <c r="R135" s="79" t="s">
        <v>413</v>
      </c>
      <c r="S135" s="79" t="s">
        <v>413</v>
      </c>
      <c r="T135" s="79">
        <v>5</v>
      </c>
      <c r="U135" s="79">
        <v>5</v>
      </c>
      <c r="V135" s="79">
        <v>5</v>
      </c>
      <c r="W135" s="78">
        <v>5</v>
      </c>
      <c r="X135" s="79">
        <v>5</v>
      </c>
      <c r="Y135" s="79">
        <v>5</v>
      </c>
      <c r="Z135" s="79">
        <v>5</v>
      </c>
      <c r="AA135" s="79">
        <v>5</v>
      </c>
      <c r="AB135" s="79">
        <v>5</v>
      </c>
      <c r="AC135" s="79">
        <v>5</v>
      </c>
      <c r="AD135" s="79">
        <v>5</v>
      </c>
      <c r="AE135" s="79">
        <v>5</v>
      </c>
      <c r="AF135" s="79">
        <v>5</v>
      </c>
      <c r="AG135" s="79">
        <v>5</v>
      </c>
    </row>
    <row r="136" spans="1:33" ht="24.95" customHeight="1" x14ac:dyDescent="0.25">
      <c r="A136" s="7">
        <v>134</v>
      </c>
      <c r="B136" s="7" t="s">
        <v>49</v>
      </c>
      <c r="C136" s="27" t="s">
        <v>79</v>
      </c>
      <c r="D136" s="28" t="s">
        <v>80</v>
      </c>
      <c r="E136" s="31">
        <v>4</v>
      </c>
      <c r="F136" s="81" t="s">
        <v>413</v>
      </c>
      <c r="G136" s="81" t="s">
        <v>413</v>
      </c>
      <c r="H136" s="81" t="s">
        <v>413</v>
      </c>
      <c r="I136" s="81" t="s">
        <v>413</v>
      </c>
      <c r="J136" s="81" t="s">
        <v>413</v>
      </c>
      <c r="K136" s="81" t="s">
        <v>413</v>
      </c>
      <c r="L136" s="81" t="s">
        <v>413</v>
      </c>
      <c r="M136" s="81" t="s">
        <v>413</v>
      </c>
      <c r="N136" s="81" t="s">
        <v>413</v>
      </c>
      <c r="O136" s="81" t="s">
        <v>413</v>
      </c>
      <c r="P136" s="81" t="s">
        <v>413</v>
      </c>
      <c r="Q136" s="81" t="s">
        <v>413</v>
      </c>
      <c r="R136" s="81" t="s">
        <v>413</v>
      </c>
      <c r="S136" s="79" t="s">
        <v>413</v>
      </c>
      <c r="T136" s="79">
        <v>5</v>
      </c>
      <c r="U136" s="81">
        <v>5</v>
      </c>
      <c r="V136" s="79">
        <v>5</v>
      </c>
      <c r="W136" s="78">
        <v>5</v>
      </c>
      <c r="X136" s="79">
        <v>5</v>
      </c>
      <c r="Y136" s="79">
        <v>5</v>
      </c>
      <c r="Z136" s="79">
        <v>5</v>
      </c>
      <c r="AA136" s="79">
        <v>3</v>
      </c>
      <c r="AB136" s="79">
        <v>5</v>
      </c>
      <c r="AC136" s="81">
        <v>3</v>
      </c>
      <c r="AD136" s="79">
        <v>5</v>
      </c>
      <c r="AE136" s="81">
        <v>3</v>
      </c>
      <c r="AF136" s="79">
        <v>5</v>
      </c>
      <c r="AG136" s="81">
        <v>5</v>
      </c>
    </row>
    <row r="137" spans="1:33" ht="24.95" customHeight="1" x14ac:dyDescent="0.25">
      <c r="A137" s="7">
        <v>135</v>
      </c>
      <c r="B137" s="7" t="s">
        <v>48</v>
      </c>
      <c r="C137" s="27" t="s">
        <v>48</v>
      </c>
      <c r="D137" s="28" t="s">
        <v>266</v>
      </c>
      <c r="E137" s="23">
        <v>5</v>
      </c>
      <c r="F137" s="25">
        <v>5</v>
      </c>
      <c r="G137" s="25">
        <v>2</v>
      </c>
      <c r="H137" s="25">
        <v>5</v>
      </c>
      <c r="I137" s="25">
        <v>1</v>
      </c>
      <c r="J137" s="25">
        <v>5</v>
      </c>
      <c r="K137" s="25">
        <v>2</v>
      </c>
      <c r="L137" s="25">
        <v>5</v>
      </c>
      <c r="M137" s="25">
        <v>2</v>
      </c>
      <c r="N137" s="25" t="s">
        <v>413</v>
      </c>
      <c r="O137" s="25" t="s">
        <v>413</v>
      </c>
      <c r="P137" s="25">
        <v>5</v>
      </c>
      <c r="Q137" s="25">
        <v>2</v>
      </c>
      <c r="R137" s="25">
        <v>5</v>
      </c>
      <c r="S137" s="78">
        <v>5</v>
      </c>
      <c r="T137" s="25" t="s">
        <v>413</v>
      </c>
      <c r="U137" s="25" t="s">
        <v>413</v>
      </c>
      <c r="V137" s="25" t="s">
        <v>413</v>
      </c>
      <c r="W137" s="25" t="s">
        <v>413</v>
      </c>
      <c r="X137" s="25" t="s">
        <v>413</v>
      </c>
      <c r="Y137" s="25" t="s">
        <v>413</v>
      </c>
      <c r="Z137" s="25" t="s">
        <v>413</v>
      </c>
      <c r="AA137" s="25" t="s">
        <v>413</v>
      </c>
      <c r="AB137" s="25" t="s">
        <v>413</v>
      </c>
      <c r="AC137" s="25" t="s">
        <v>413</v>
      </c>
      <c r="AD137" s="25" t="s">
        <v>413</v>
      </c>
      <c r="AE137" s="80" t="s">
        <v>413</v>
      </c>
      <c r="AF137" s="25" t="s">
        <v>413</v>
      </c>
      <c r="AG137" s="80" t="s">
        <v>413</v>
      </c>
    </row>
    <row r="138" spans="1:33" ht="24.95" customHeight="1" x14ac:dyDescent="0.25">
      <c r="A138" s="7">
        <v>136</v>
      </c>
      <c r="B138" s="7" t="s">
        <v>48</v>
      </c>
      <c r="C138" s="27" t="s">
        <v>48</v>
      </c>
      <c r="D138" s="28" t="s">
        <v>267</v>
      </c>
      <c r="E138" s="24">
        <v>2</v>
      </c>
      <c r="F138" s="80">
        <v>5</v>
      </c>
      <c r="G138" s="80">
        <v>2</v>
      </c>
      <c r="H138" s="80">
        <v>5</v>
      </c>
      <c r="I138" s="80">
        <v>1</v>
      </c>
      <c r="J138" s="80">
        <v>5</v>
      </c>
      <c r="K138" s="80">
        <v>2</v>
      </c>
      <c r="L138" s="80">
        <v>5</v>
      </c>
      <c r="M138" s="80">
        <v>2</v>
      </c>
      <c r="N138" s="80" t="s">
        <v>413</v>
      </c>
      <c r="O138" s="80" t="s">
        <v>413</v>
      </c>
      <c r="P138" s="80">
        <v>5</v>
      </c>
      <c r="Q138" s="80">
        <v>2</v>
      </c>
      <c r="R138" s="80">
        <v>5</v>
      </c>
      <c r="S138" s="78">
        <v>5</v>
      </c>
      <c r="T138" s="81" t="s">
        <v>413</v>
      </c>
      <c r="U138" s="81" t="s">
        <v>413</v>
      </c>
      <c r="V138" s="81" t="s">
        <v>413</v>
      </c>
      <c r="W138" s="80" t="s">
        <v>413</v>
      </c>
      <c r="X138" s="81" t="s">
        <v>413</v>
      </c>
      <c r="Y138" s="81" t="s">
        <v>413</v>
      </c>
      <c r="Z138" s="81" t="s">
        <v>413</v>
      </c>
      <c r="AA138" s="79" t="s">
        <v>413</v>
      </c>
      <c r="AB138" s="81">
        <v>5</v>
      </c>
      <c r="AC138" s="81">
        <v>5</v>
      </c>
      <c r="AD138" s="81" t="s">
        <v>413</v>
      </c>
      <c r="AE138" s="79" t="s">
        <v>413</v>
      </c>
      <c r="AF138" s="81" t="s">
        <v>413</v>
      </c>
      <c r="AG138" s="79" t="s">
        <v>413</v>
      </c>
    </row>
    <row r="139" spans="1:33" ht="24.95" customHeight="1" x14ac:dyDescent="0.25">
      <c r="A139" s="7">
        <v>137</v>
      </c>
      <c r="B139" s="7" t="s">
        <v>48</v>
      </c>
      <c r="C139" s="27" t="s">
        <v>48</v>
      </c>
      <c r="D139" s="28" t="s">
        <v>269</v>
      </c>
      <c r="E139" s="24">
        <v>3</v>
      </c>
      <c r="F139" s="78">
        <v>5</v>
      </c>
      <c r="G139" s="78">
        <v>3</v>
      </c>
      <c r="H139" s="78">
        <v>5</v>
      </c>
      <c r="I139" s="81">
        <v>2</v>
      </c>
      <c r="J139" s="78">
        <v>5</v>
      </c>
      <c r="K139" s="81">
        <v>3</v>
      </c>
      <c r="L139" s="78">
        <v>5</v>
      </c>
      <c r="M139" s="78">
        <v>3</v>
      </c>
      <c r="N139" s="78" t="s">
        <v>413</v>
      </c>
      <c r="O139" s="78" t="s">
        <v>413</v>
      </c>
      <c r="P139" s="78">
        <v>5</v>
      </c>
      <c r="Q139" s="78">
        <v>3</v>
      </c>
      <c r="R139" s="78">
        <v>5</v>
      </c>
      <c r="S139" s="78">
        <v>5</v>
      </c>
      <c r="T139" s="25" t="s">
        <v>413</v>
      </c>
      <c r="U139" s="81" t="s">
        <v>413</v>
      </c>
      <c r="V139" s="25" t="s">
        <v>413</v>
      </c>
      <c r="W139" s="78" t="s">
        <v>413</v>
      </c>
      <c r="X139" s="25" t="s">
        <v>413</v>
      </c>
      <c r="Y139" s="25" t="s">
        <v>413</v>
      </c>
      <c r="Z139" s="25" t="s">
        <v>413</v>
      </c>
      <c r="AA139" s="25" t="s">
        <v>413</v>
      </c>
      <c r="AB139" s="25" t="s">
        <v>413</v>
      </c>
      <c r="AC139" s="25" t="s">
        <v>413</v>
      </c>
      <c r="AD139" s="25" t="s">
        <v>413</v>
      </c>
      <c r="AE139" s="25" t="s">
        <v>413</v>
      </c>
      <c r="AF139" s="25" t="s">
        <v>413</v>
      </c>
      <c r="AG139" s="25" t="s">
        <v>413</v>
      </c>
    </row>
    <row r="140" spans="1:33" ht="24.95" customHeight="1" x14ac:dyDescent="0.25">
      <c r="A140" s="7">
        <v>138</v>
      </c>
      <c r="B140" s="7" t="s">
        <v>48</v>
      </c>
      <c r="C140" s="27" t="s">
        <v>111</v>
      </c>
      <c r="D140" s="28" t="s">
        <v>112</v>
      </c>
      <c r="E140" s="23">
        <v>5</v>
      </c>
      <c r="F140" s="25" t="s">
        <v>413</v>
      </c>
      <c r="G140" s="25" t="s">
        <v>413</v>
      </c>
      <c r="H140" s="25" t="s">
        <v>413</v>
      </c>
      <c r="I140" s="25" t="s">
        <v>413</v>
      </c>
      <c r="J140" s="25" t="s">
        <v>413</v>
      </c>
      <c r="K140" s="25" t="s">
        <v>413</v>
      </c>
      <c r="L140" s="25" t="s">
        <v>413</v>
      </c>
      <c r="M140" s="25" t="s">
        <v>413</v>
      </c>
      <c r="N140" s="25" t="s">
        <v>413</v>
      </c>
      <c r="O140" s="25" t="s">
        <v>413</v>
      </c>
      <c r="P140" s="25" t="s">
        <v>413</v>
      </c>
      <c r="Q140" s="25" t="s">
        <v>413</v>
      </c>
      <c r="R140" s="25" t="s">
        <v>413</v>
      </c>
      <c r="S140" s="80" t="s">
        <v>413</v>
      </c>
      <c r="T140" s="79">
        <v>5</v>
      </c>
      <c r="U140" s="25">
        <v>1</v>
      </c>
      <c r="V140" s="79">
        <v>5</v>
      </c>
      <c r="W140" s="80">
        <v>5</v>
      </c>
      <c r="X140" s="79">
        <v>5</v>
      </c>
      <c r="Y140" s="79">
        <v>5</v>
      </c>
      <c r="Z140" s="79">
        <v>5</v>
      </c>
      <c r="AA140" s="25">
        <v>1</v>
      </c>
      <c r="AB140" s="79">
        <v>5</v>
      </c>
      <c r="AC140" s="25">
        <v>1</v>
      </c>
      <c r="AD140" s="79">
        <v>5</v>
      </c>
      <c r="AE140" s="80">
        <v>1</v>
      </c>
      <c r="AF140" s="79">
        <v>5</v>
      </c>
      <c r="AG140" s="80">
        <v>3</v>
      </c>
    </row>
    <row r="141" spans="1:33" ht="24.95" customHeight="1" x14ac:dyDescent="0.25">
      <c r="A141" s="7">
        <v>139</v>
      </c>
      <c r="B141" s="7" t="s">
        <v>48</v>
      </c>
      <c r="C141" s="27" t="s">
        <v>241</v>
      </c>
      <c r="D141" s="28" t="s">
        <v>242</v>
      </c>
      <c r="E141" s="25">
        <v>5</v>
      </c>
      <c r="F141" s="80" t="s">
        <v>413</v>
      </c>
      <c r="G141" s="80" t="s">
        <v>413</v>
      </c>
      <c r="H141" s="80" t="s">
        <v>413</v>
      </c>
      <c r="I141" s="80" t="s">
        <v>413</v>
      </c>
      <c r="J141" s="80" t="s">
        <v>413</v>
      </c>
      <c r="K141" s="80" t="s">
        <v>413</v>
      </c>
      <c r="L141" s="80" t="s">
        <v>413</v>
      </c>
      <c r="M141" s="80" t="s">
        <v>413</v>
      </c>
      <c r="N141" s="80" t="s">
        <v>413</v>
      </c>
      <c r="O141" s="80" t="s">
        <v>413</v>
      </c>
      <c r="P141" s="80" t="s">
        <v>413</v>
      </c>
      <c r="Q141" s="80" t="s">
        <v>413</v>
      </c>
      <c r="R141" s="81" t="s">
        <v>413</v>
      </c>
      <c r="S141" s="78" t="s">
        <v>413</v>
      </c>
      <c r="T141" s="79">
        <v>5</v>
      </c>
      <c r="U141" s="81">
        <v>3</v>
      </c>
      <c r="V141" s="79">
        <v>5</v>
      </c>
      <c r="W141" s="78">
        <v>4</v>
      </c>
      <c r="X141" s="79">
        <v>5</v>
      </c>
      <c r="Y141" s="79">
        <v>3</v>
      </c>
      <c r="Z141" s="79">
        <v>5</v>
      </c>
      <c r="AA141" s="81">
        <v>3</v>
      </c>
      <c r="AB141" s="79">
        <v>5</v>
      </c>
      <c r="AC141" s="81">
        <v>5</v>
      </c>
      <c r="AD141" s="79">
        <v>5</v>
      </c>
      <c r="AE141" s="81">
        <v>3</v>
      </c>
      <c r="AF141" s="79">
        <v>5</v>
      </c>
      <c r="AG141" s="81">
        <v>2</v>
      </c>
    </row>
    <row r="142" spans="1:33" ht="24.95" customHeight="1" x14ac:dyDescent="0.25">
      <c r="A142" s="7">
        <v>140</v>
      </c>
      <c r="B142" s="7" t="s">
        <v>48</v>
      </c>
      <c r="C142" s="27" t="s">
        <v>243</v>
      </c>
      <c r="D142" s="28" t="s">
        <v>244</v>
      </c>
      <c r="E142" s="31">
        <v>3</v>
      </c>
      <c r="F142" s="80" t="s">
        <v>413</v>
      </c>
      <c r="G142" s="80" t="s">
        <v>413</v>
      </c>
      <c r="H142" s="80" t="s">
        <v>413</v>
      </c>
      <c r="I142" s="80" t="s">
        <v>413</v>
      </c>
      <c r="J142" s="80" t="s">
        <v>413</v>
      </c>
      <c r="K142" s="80" t="s">
        <v>413</v>
      </c>
      <c r="L142" s="80" t="s">
        <v>413</v>
      </c>
      <c r="M142" s="80" t="s">
        <v>413</v>
      </c>
      <c r="N142" s="80" t="s">
        <v>413</v>
      </c>
      <c r="O142" s="80" t="s">
        <v>413</v>
      </c>
      <c r="P142" s="80" t="s">
        <v>413</v>
      </c>
      <c r="Q142" s="80" t="s">
        <v>413</v>
      </c>
      <c r="R142" s="81" t="s">
        <v>413</v>
      </c>
      <c r="S142" s="78" t="s">
        <v>413</v>
      </c>
      <c r="T142" s="79">
        <v>5</v>
      </c>
      <c r="U142" s="81">
        <v>3</v>
      </c>
      <c r="V142" s="79">
        <v>5</v>
      </c>
      <c r="W142" s="78">
        <v>5</v>
      </c>
      <c r="X142" s="79">
        <v>5</v>
      </c>
      <c r="Y142" s="79">
        <v>3</v>
      </c>
      <c r="Z142" s="79">
        <v>5</v>
      </c>
      <c r="AA142" s="81">
        <v>3</v>
      </c>
      <c r="AB142" s="79">
        <v>5</v>
      </c>
      <c r="AC142" s="81">
        <v>5</v>
      </c>
      <c r="AD142" s="79">
        <v>5</v>
      </c>
      <c r="AE142" s="81">
        <v>3</v>
      </c>
      <c r="AF142" s="79">
        <v>5</v>
      </c>
      <c r="AG142" s="81">
        <v>5</v>
      </c>
    </row>
    <row r="143" spans="1:33" ht="24.95" customHeight="1" x14ac:dyDescent="0.25">
      <c r="A143" s="7">
        <v>141</v>
      </c>
      <c r="B143" s="7" t="s">
        <v>48</v>
      </c>
      <c r="C143" s="27" t="s">
        <v>245</v>
      </c>
      <c r="D143" s="28" t="s">
        <v>246</v>
      </c>
      <c r="E143" s="31">
        <v>3</v>
      </c>
      <c r="F143" s="80" t="s">
        <v>413</v>
      </c>
      <c r="G143" s="80" t="s">
        <v>413</v>
      </c>
      <c r="H143" s="80" t="s">
        <v>413</v>
      </c>
      <c r="I143" s="80" t="s">
        <v>413</v>
      </c>
      <c r="J143" s="80" t="s">
        <v>413</v>
      </c>
      <c r="K143" s="80" t="s">
        <v>413</v>
      </c>
      <c r="L143" s="80" t="s">
        <v>413</v>
      </c>
      <c r="M143" s="80" t="s">
        <v>413</v>
      </c>
      <c r="N143" s="80" t="s">
        <v>413</v>
      </c>
      <c r="O143" s="80" t="s">
        <v>413</v>
      </c>
      <c r="P143" s="80" t="s">
        <v>413</v>
      </c>
      <c r="Q143" s="80" t="s">
        <v>413</v>
      </c>
      <c r="R143" s="81" t="s">
        <v>413</v>
      </c>
      <c r="S143" s="78" t="s">
        <v>413</v>
      </c>
      <c r="T143" s="79">
        <v>5</v>
      </c>
      <c r="U143" s="81">
        <v>3</v>
      </c>
      <c r="V143" s="79">
        <v>5</v>
      </c>
      <c r="W143" s="78">
        <v>5</v>
      </c>
      <c r="X143" s="79">
        <v>5</v>
      </c>
      <c r="Y143" s="79">
        <v>3</v>
      </c>
      <c r="Z143" s="79">
        <v>5</v>
      </c>
      <c r="AA143" s="81">
        <v>3</v>
      </c>
      <c r="AB143" s="79">
        <v>5</v>
      </c>
      <c r="AC143" s="81">
        <v>2</v>
      </c>
      <c r="AD143" s="79">
        <v>5</v>
      </c>
      <c r="AE143" s="81">
        <v>3</v>
      </c>
      <c r="AF143" s="79">
        <v>5</v>
      </c>
      <c r="AG143" s="81">
        <v>5</v>
      </c>
    </row>
    <row r="144" spans="1:33" ht="24.95" customHeight="1" x14ac:dyDescent="0.25">
      <c r="A144" s="7">
        <v>142</v>
      </c>
      <c r="B144" s="7" t="s">
        <v>48</v>
      </c>
      <c r="C144" s="27" t="s">
        <v>53</v>
      </c>
      <c r="D144" s="28" t="s">
        <v>54</v>
      </c>
      <c r="E144" s="23">
        <v>5</v>
      </c>
      <c r="F144" s="80" t="s">
        <v>413</v>
      </c>
      <c r="G144" s="80" t="s">
        <v>413</v>
      </c>
      <c r="H144" s="80" t="s">
        <v>413</v>
      </c>
      <c r="I144" s="80" t="s">
        <v>413</v>
      </c>
      <c r="J144" s="80" t="s">
        <v>413</v>
      </c>
      <c r="K144" s="80" t="s">
        <v>413</v>
      </c>
      <c r="L144" s="80" t="s">
        <v>413</v>
      </c>
      <c r="M144" s="80" t="s">
        <v>413</v>
      </c>
      <c r="N144" s="80" t="s">
        <v>413</v>
      </c>
      <c r="O144" s="80" t="s">
        <v>413</v>
      </c>
      <c r="P144" s="80" t="s">
        <v>413</v>
      </c>
      <c r="Q144" s="80" t="s">
        <v>413</v>
      </c>
      <c r="R144" s="79" t="s">
        <v>413</v>
      </c>
      <c r="S144" s="78" t="s">
        <v>413</v>
      </c>
      <c r="T144" s="79">
        <v>5</v>
      </c>
      <c r="U144" s="79">
        <v>3</v>
      </c>
      <c r="V144" s="79">
        <v>5</v>
      </c>
      <c r="W144" s="78">
        <v>5</v>
      </c>
      <c r="X144" s="79">
        <v>5</v>
      </c>
      <c r="Y144" s="79">
        <v>5</v>
      </c>
      <c r="Z144" s="79">
        <v>5</v>
      </c>
      <c r="AA144" s="81">
        <v>3</v>
      </c>
      <c r="AB144" s="79">
        <v>5</v>
      </c>
      <c r="AC144" s="81">
        <v>2</v>
      </c>
      <c r="AD144" s="79">
        <v>5</v>
      </c>
      <c r="AE144" s="81">
        <v>2</v>
      </c>
      <c r="AF144" s="79">
        <v>5</v>
      </c>
      <c r="AG144" s="81">
        <v>2</v>
      </c>
    </row>
    <row r="145" spans="1:33" ht="24.95" customHeight="1" x14ac:dyDescent="0.25">
      <c r="A145" s="7">
        <v>143</v>
      </c>
      <c r="B145" s="7" t="s">
        <v>48</v>
      </c>
      <c r="C145" s="27" t="s">
        <v>247</v>
      </c>
      <c r="D145" s="28" t="s">
        <v>248</v>
      </c>
      <c r="E145" s="31">
        <v>3</v>
      </c>
      <c r="F145" s="80" t="s">
        <v>413</v>
      </c>
      <c r="G145" s="80" t="s">
        <v>413</v>
      </c>
      <c r="H145" s="80" t="s">
        <v>413</v>
      </c>
      <c r="I145" s="80" t="s">
        <v>413</v>
      </c>
      <c r="J145" s="80" t="s">
        <v>413</v>
      </c>
      <c r="K145" s="80" t="s">
        <v>413</v>
      </c>
      <c r="L145" s="80" t="s">
        <v>413</v>
      </c>
      <c r="M145" s="80" t="s">
        <v>413</v>
      </c>
      <c r="N145" s="80" t="s">
        <v>413</v>
      </c>
      <c r="O145" s="80" t="s">
        <v>413</v>
      </c>
      <c r="P145" s="80" t="s">
        <v>413</v>
      </c>
      <c r="Q145" s="80" t="s">
        <v>413</v>
      </c>
      <c r="R145" s="81" t="s">
        <v>413</v>
      </c>
      <c r="S145" s="78" t="s">
        <v>413</v>
      </c>
      <c r="T145" s="79">
        <v>5</v>
      </c>
      <c r="U145" s="81">
        <v>3</v>
      </c>
      <c r="V145" s="79">
        <v>5</v>
      </c>
      <c r="W145" s="78">
        <v>4</v>
      </c>
      <c r="X145" s="79">
        <v>5</v>
      </c>
      <c r="Y145" s="79">
        <v>3</v>
      </c>
      <c r="Z145" s="79">
        <v>5</v>
      </c>
      <c r="AA145" s="81">
        <v>3</v>
      </c>
      <c r="AB145" s="79">
        <v>5</v>
      </c>
      <c r="AC145" s="81">
        <v>2</v>
      </c>
      <c r="AD145" s="79">
        <v>5</v>
      </c>
      <c r="AE145" s="81">
        <v>3</v>
      </c>
      <c r="AF145" s="79">
        <v>5</v>
      </c>
      <c r="AG145" s="81">
        <v>5</v>
      </c>
    </row>
    <row r="146" spans="1:33" ht="24.95" customHeight="1" x14ac:dyDescent="0.25">
      <c r="A146" s="7">
        <v>144</v>
      </c>
      <c r="B146" s="7" t="s">
        <v>48</v>
      </c>
      <c r="C146" s="27" t="s">
        <v>55</v>
      </c>
      <c r="D146" s="28" t="s">
        <v>249</v>
      </c>
      <c r="E146" s="23">
        <v>5</v>
      </c>
      <c r="F146" s="80" t="s">
        <v>413</v>
      </c>
      <c r="G146" s="80" t="s">
        <v>413</v>
      </c>
      <c r="H146" s="25" t="s">
        <v>413</v>
      </c>
      <c r="I146" s="25" t="s">
        <v>413</v>
      </c>
      <c r="J146" s="25" t="s">
        <v>413</v>
      </c>
      <c r="K146" s="25" t="s">
        <v>413</v>
      </c>
      <c r="L146" s="25" t="s">
        <v>413</v>
      </c>
      <c r="M146" s="80" t="s">
        <v>413</v>
      </c>
      <c r="N146" s="80" t="s">
        <v>413</v>
      </c>
      <c r="O146" s="80" t="s">
        <v>413</v>
      </c>
      <c r="P146" s="80" t="s">
        <v>413</v>
      </c>
      <c r="Q146" s="80" t="s">
        <v>413</v>
      </c>
      <c r="R146" s="79" t="s">
        <v>413</v>
      </c>
      <c r="S146" s="78" t="s">
        <v>413</v>
      </c>
      <c r="T146" s="79">
        <v>5</v>
      </c>
      <c r="U146" s="79">
        <v>3</v>
      </c>
      <c r="V146" s="79">
        <v>5</v>
      </c>
      <c r="W146" s="78">
        <v>5</v>
      </c>
      <c r="X146" s="79">
        <v>5</v>
      </c>
      <c r="Y146" s="79">
        <v>5</v>
      </c>
      <c r="Z146" s="79">
        <v>5</v>
      </c>
      <c r="AA146" s="81">
        <v>3</v>
      </c>
      <c r="AB146" s="79">
        <v>5</v>
      </c>
      <c r="AC146" s="81">
        <v>2</v>
      </c>
      <c r="AD146" s="79">
        <v>5</v>
      </c>
      <c r="AE146" s="81">
        <v>2</v>
      </c>
      <c r="AF146" s="79">
        <v>5</v>
      </c>
      <c r="AG146" s="81">
        <v>3</v>
      </c>
    </row>
    <row r="147" spans="1:33" ht="24.95" customHeight="1" x14ac:dyDescent="0.25">
      <c r="A147" s="7">
        <v>145</v>
      </c>
      <c r="B147" s="7" t="s">
        <v>48</v>
      </c>
      <c r="C147" s="27" t="s">
        <v>250</v>
      </c>
      <c r="D147" s="28" t="s">
        <v>251</v>
      </c>
      <c r="E147" s="25">
        <v>4</v>
      </c>
      <c r="F147" s="80" t="s">
        <v>413</v>
      </c>
      <c r="G147" s="80" t="s">
        <v>413</v>
      </c>
      <c r="H147" s="80" t="s">
        <v>413</v>
      </c>
      <c r="I147" s="80" t="s">
        <v>413</v>
      </c>
      <c r="J147" s="80" t="s">
        <v>413</v>
      </c>
      <c r="K147" s="80" t="s">
        <v>413</v>
      </c>
      <c r="L147" s="80" t="s">
        <v>413</v>
      </c>
      <c r="M147" s="80" t="s">
        <v>413</v>
      </c>
      <c r="N147" s="80" t="s">
        <v>413</v>
      </c>
      <c r="O147" s="80" t="s">
        <v>413</v>
      </c>
      <c r="P147" s="80" t="s">
        <v>413</v>
      </c>
      <c r="Q147" s="80" t="s">
        <v>413</v>
      </c>
      <c r="R147" s="79" t="s">
        <v>413</v>
      </c>
      <c r="S147" s="78" t="s">
        <v>413</v>
      </c>
      <c r="T147" s="79">
        <v>5</v>
      </c>
      <c r="U147" s="79">
        <v>3</v>
      </c>
      <c r="V147" s="79">
        <v>5</v>
      </c>
      <c r="W147" s="78">
        <v>5</v>
      </c>
      <c r="X147" s="79">
        <v>5</v>
      </c>
      <c r="Y147" s="79">
        <v>5</v>
      </c>
      <c r="Z147" s="79">
        <v>5</v>
      </c>
      <c r="AA147" s="79">
        <v>3</v>
      </c>
      <c r="AB147" s="79">
        <v>5</v>
      </c>
      <c r="AC147" s="79">
        <v>2</v>
      </c>
      <c r="AD147" s="79">
        <v>5</v>
      </c>
      <c r="AE147" s="79">
        <v>4</v>
      </c>
      <c r="AF147" s="79">
        <v>5</v>
      </c>
      <c r="AG147" s="79">
        <v>3</v>
      </c>
    </row>
    <row r="148" spans="1:33" ht="24.95" customHeight="1" x14ac:dyDescent="0.25">
      <c r="A148" s="7">
        <v>146</v>
      </c>
      <c r="B148" s="7" t="s">
        <v>48</v>
      </c>
      <c r="C148" s="27" t="s">
        <v>252</v>
      </c>
      <c r="D148" s="28" t="s">
        <v>253</v>
      </c>
      <c r="E148" s="25">
        <v>4</v>
      </c>
      <c r="F148" s="80" t="s">
        <v>413</v>
      </c>
      <c r="G148" s="80" t="s">
        <v>413</v>
      </c>
      <c r="H148" s="80" t="s">
        <v>413</v>
      </c>
      <c r="I148" s="80" t="s">
        <v>413</v>
      </c>
      <c r="J148" s="80" t="s">
        <v>413</v>
      </c>
      <c r="K148" s="80" t="s">
        <v>413</v>
      </c>
      <c r="L148" s="80" t="s">
        <v>413</v>
      </c>
      <c r="M148" s="80" t="s">
        <v>413</v>
      </c>
      <c r="N148" s="80" t="s">
        <v>413</v>
      </c>
      <c r="O148" s="80" t="s">
        <v>413</v>
      </c>
      <c r="P148" s="80" t="s">
        <v>413</v>
      </c>
      <c r="Q148" s="80" t="s">
        <v>413</v>
      </c>
      <c r="R148" s="79" t="s">
        <v>413</v>
      </c>
      <c r="S148" s="78" t="s">
        <v>413</v>
      </c>
      <c r="T148" s="79">
        <v>5</v>
      </c>
      <c r="U148" s="79">
        <v>3</v>
      </c>
      <c r="V148" s="79">
        <v>5</v>
      </c>
      <c r="W148" s="78">
        <v>5</v>
      </c>
      <c r="X148" s="79">
        <v>5</v>
      </c>
      <c r="Y148" s="79">
        <v>5</v>
      </c>
      <c r="Z148" s="79">
        <v>5</v>
      </c>
      <c r="AA148" s="79">
        <v>3</v>
      </c>
      <c r="AB148" s="79">
        <v>5</v>
      </c>
      <c r="AC148" s="79">
        <v>2</v>
      </c>
      <c r="AD148" s="79">
        <v>5</v>
      </c>
      <c r="AE148" s="79">
        <v>4</v>
      </c>
      <c r="AF148" s="79">
        <v>5</v>
      </c>
      <c r="AG148" s="79">
        <v>3</v>
      </c>
    </row>
    <row r="149" spans="1:33" ht="24.95" customHeight="1" x14ac:dyDescent="0.25">
      <c r="A149" s="7">
        <v>147</v>
      </c>
      <c r="B149" s="7" t="s">
        <v>48</v>
      </c>
      <c r="C149" s="27" t="s">
        <v>254</v>
      </c>
      <c r="D149" s="28" t="s">
        <v>255</v>
      </c>
      <c r="E149" s="24">
        <v>2</v>
      </c>
      <c r="F149" s="80" t="s">
        <v>413</v>
      </c>
      <c r="G149" s="80" t="s">
        <v>413</v>
      </c>
      <c r="H149" s="80" t="s">
        <v>413</v>
      </c>
      <c r="I149" s="80" t="s">
        <v>413</v>
      </c>
      <c r="J149" s="80" t="s">
        <v>413</v>
      </c>
      <c r="K149" s="80" t="s">
        <v>413</v>
      </c>
      <c r="L149" s="80" t="s">
        <v>413</v>
      </c>
      <c r="M149" s="80" t="s">
        <v>413</v>
      </c>
      <c r="N149" s="80" t="s">
        <v>413</v>
      </c>
      <c r="O149" s="80" t="s">
        <v>413</v>
      </c>
      <c r="P149" s="80" t="s">
        <v>413</v>
      </c>
      <c r="Q149" s="80" t="s">
        <v>413</v>
      </c>
      <c r="R149" s="79" t="s">
        <v>413</v>
      </c>
      <c r="S149" s="78" t="s">
        <v>413</v>
      </c>
      <c r="T149" s="79">
        <v>5</v>
      </c>
      <c r="U149" s="79">
        <v>3</v>
      </c>
      <c r="V149" s="79">
        <v>5</v>
      </c>
      <c r="W149" s="78">
        <v>5</v>
      </c>
      <c r="X149" s="79">
        <v>5</v>
      </c>
      <c r="Y149" s="79">
        <v>3</v>
      </c>
      <c r="Z149" s="79">
        <v>5</v>
      </c>
      <c r="AA149" s="79">
        <v>5</v>
      </c>
      <c r="AB149" s="79">
        <v>5</v>
      </c>
      <c r="AC149" s="79">
        <v>5</v>
      </c>
      <c r="AD149" s="79">
        <v>5</v>
      </c>
      <c r="AE149" s="79">
        <v>5</v>
      </c>
      <c r="AF149" s="79">
        <v>5</v>
      </c>
      <c r="AG149" s="79">
        <v>5</v>
      </c>
    </row>
    <row r="150" spans="1:33" ht="24.95" customHeight="1" x14ac:dyDescent="0.25">
      <c r="A150" s="7">
        <v>148</v>
      </c>
      <c r="B150" s="7" t="s">
        <v>48</v>
      </c>
      <c r="C150" s="27" t="s">
        <v>56</v>
      </c>
      <c r="D150" s="28" t="s">
        <v>57</v>
      </c>
      <c r="E150" s="31">
        <v>3</v>
      </c>
      <c r="F150" s="81" t="s">
        <v>413</v>
      </c>
      <c r="G150" s="81" t="s">
        <v>413</v>
      </c>
      <c r="H150" s="81" t="s">
        <v>413</v>
      </c>
      <c r="I150" s="81" t="s">
        <v>413</v>
      </c>
      <c r="J150" s="81" t="s">
        <v>413</v>
      </c>
      <c r="K150" s="81" t="s">
        <v>413</v>
      </c>
      <c r="L150" s="81" t="s">
        <v>413</v>
      </c>
      <c r="M150" s="81" t="s">
        <v>413</v>
      </c>
      <c r="N150" s="81" t="s">
        <v>413</v>
      </c>
      <c r="O150" s="81" t="s">
        <v>413</v>
      </c>
      <c r="P150" s="81" t="s">
        <v>413</v>
      </c>
      <c r="Q150" s="81" t="s">
        <v>413</v>
      </c>
      <c r="R150" s="81" t="s">
        <v>413</v>
      </c>
      <c r="S150" s="78" t="s">
        <v>413</v>
      </c>
      <c r="T150" s="79">
        <v>5</v>
      </c>
      <c r="U150" s="81">
        <v>3</v>
      </c>
      <c r="V150" s="79">
        <v>5</v>
      </c>
      <c r="W150" s="78">
        <v>5</v>
      </c>
      <c r="X150" s="79">
        <v>5</v>
      </c>
      <c r="Y150" s="79">
        <v>3</v>
      </c>
      <c r="Z150" s="79">
        <v>5</v>
      </c>
      <c r="AA150" s="81">
        <v>5</v>
      </c>
      <c r="AB150" s="79">
        <v>5</v>
      </c>
      <c r="AC150" s="81">
        <v>5</v>
      </c>
      <c r="AD150" s="79">
        <v>5</v>
      </c>
      <c r="AE150" s="81">
        <v>5</v>
      </c>
      <c r="AF150" s="79">
        <v>5</v>
      </c>
      <c r="AG150" s="81">
        <v>5</v>
      </c>
    </row>
    <row r="151" spans="1:33" ht="24.95" customHeight="1" x14ac:dyDescent="0.25">
      <c r="A151" s="7">
        <v>149</v>
      </c>
      <c r="B151" s="7" t="s">
        <v>48</v>
      </c>
      <c r="C151" s="27" t="s">
        <v>256</v>
      </c>
      <c r="D151" s="28" t="s">
        <v>257</v>
      </c>
      <c r="E151" s="25">
        <v>4</v>
      </c>
      <c r="F151" s="80" t="s">
        <v>413</v>
      </c>
      <c r="G151" s="80" t="s">
        <v>413</v>
      </c>
      <c r="H151" s="80" t="s">
        <v>413</v>
      </c>
      <c r="I151" s="80" t="s">
        <v>413</v>
      </c>
      <c r="J151" s="80" t="s">
        <v>413</v>
      </c>
      <c r="K151" s="80" t="s">
        <v>413</v>
      </c>
      <c r="L151" s="80" t="s">
        <v>413</v>
      </c>
      <c r="M151" s="80" t="s">
        <v>413</v>
      </c>
      <c r="N151" s="80" t="s">
        <v>413</v>
      </c>
      <c r="O151" s="80" t="s">
        <v>413</v>
      </c>
      <c r="P151" s="80" t="s">
        <v>413</v>
      </c>
      <c r="Q151" s="80" t="s">
        <v>413</v>
      </c>
      <c r="R151" s="81" t="s">
        <v>413</v>
      </c>
      <c r="S151" s="78" t="s">
        <v>413</v>
      </c>
      <c r="T151" s="79">
        <v>5</v>
      </c>
      <c r="U151" s="81">
        <v>3</v>
      </c>
      <c r="V151" s="79">
        <v>5</v>
      </c>
      <c r="W151" s="78">
        <v>3</v>
      </c>
      <c r="X151" s="79">
        <v>5</v>
      </c>
      <c r="Y151" s="79">
        <v>3</v>
      </c>
      <c r="Z151" s="79">
        <v>5</v>
      </c>
      <c r="AA151" s="81">
        <v>3</v>
      </c>
      <c r="AB151" s="79">
        <v>5</v>
      </c>
      <c r="AC151" s="81">
        <v>2</v>
      </c>
      <c r="AD151" s="79">
        <v>5</v>
      </c>
      <c r="AE151" s="81">
        <v>3</v>
      </c>
      <c r="AF151" s="79">
        <v>5</v>
      </c>
      <c r="AG151" s="81">
        <v>3</v>
      </c>
    </row>
    <row r="152" spans="1:33" ht="24.95" customHeight="1" x14ac:dyDescent="0.25">
      <c r="A152" s="7">
        <v>150</v>
      </c>
      <c r="B152" s="7" t="s">
        <v>48</v>
      </c>
      <c r="C152" s="27" t="s">
        <v>258</v>
      </c>
      <c r="D152" s="28" t="s">
        <v>259</v>
      </c>
      <c r="E152" s="24">
        <v>2</v>
      </c>
      <c r="F152" s="80" t="s">
        <v>413</v>
      </c>
      <c r="G152" s="80" t="s">
        <v>413</v>
      </c>
      <c r="H152" s="80" t="s">
        <v>413</v>
      </c>
      <c r="I152" s="80" t="s">
        <v>413</v>
      </c>
      <c r="J152" s="80" t="s">
        <v>413</v>
      </c>
      <c r="K152" s="80" t="s">
        <v>413</v>
      </c>
      <c r="L152" s="80" t="s">
        <v>413</v>
      </c>
      <c r="M152" s="80" t="s">
        <v>413</v>
      </c>
      <c r="N152" s="80" t="s">
        <v>413</v>
      </c>
      <c r="O152" s="80" t="s">
        <v>413</v>
      </c>
      <c r="P152" s="80" t="s">
        <v>413</v>
      </c>
      <c r="Q152" s="80" t="s">
        <v>413</v>
      </c>
      <c r="R152" s="79" t="s">
        <v>413</v>
      </c>
      <c r="S152" s="78" t="s">
        <v>413</v>
      </c>
      <c r="T152" s="79">
        <v>5</v>
      </c>
      <c r="U152" s="79">
        <v>3</v>
      </c>
      <c r="V152" s="79">
        <v>5</v>
      </c>
      <c r="W152" s="78">
        <v>5</v>
      </c>
      <c r="X152" s="79">
        <v>5</v>
      </c>
      <c r="Y152" s="79">
        <v>3</v>
      </c>
      <c r="Z152" s="79">
        <v>5</v>
      </c>
      <c r="AA152" s="79">
        <v>5</v>
      </c>
      <c r="AB152" s="79">
        <v>5</v>
      </c>
      <c r="AC152" s="79">
        <v>5</v>
      </c>
      <c r="AD152" s="79">
        <v>5</v>
      </c>
      <c r="AE152" s="79">
        <v>5</v>
      </c>
      <c r="AF152" s="79">
        <v>5</v>
      </c>
      <c r="AG152" s="79">
        <v>5</v>
      </c>
    </row>
    <row r="153" spans="1:33" ht="24.95" customHeight="1" x14ac:dyDescent="0.25">
      <c r="A153" s="7">
        <v>151</v>
      </c>
      <c r="B153" s="7" t="s">
        <v>48</v>
      </c>
      <c r="C153" s="27" t="s">
        <v>260</v>
      </c>
      <c r="D153" s="28" t="s">
        <v>261</v>
      </c>
      <c r="E153" s="24">
        <v>2</v>
      </c>
      <c r="F153" s="80" t="s">
        <v>413</v>
      </c>
      <c r="G153" s="80" t="s">
        <v>413</v>
      </c>
      <c r="H153" s="80" t="s">
        <v>413</v>
      </c>
      <c r="I153" s="80" t="s">
        <v>413</v>
      </c>
      <c r="J153" s="80" t="s">
        <v>413</v>
      </c>
      <c r="K153" s="80" t="s">
        <v>413</v>
      </c>
      <c r="L153" s="80" t="s">
        <v>413</v>
      </c>
      <c r="M153" s="80" t="s">
        <v>413</v>
      </c>
      <c r="N153" s="80" t="s">
        <v>413</v>
      </c>
      <c r="O153" s="80" t="s">
        <v>413</v>
      </c>
      <c r="P153" s="80" t="s">
        <v>413</v>
      </c>
      <c r="Q153" s="80" t="s">
        <v>413</v>
      </c>
      <c r="R153" s="79" t="s">
        <v>413</v>
      </c>
      <c r="S153" s="78" t="s">
        <v>413</v>
      </c>
      <c r="T153" s="79">
        <v>5</v>
      </c>
      <c r="U153" s="79">
        <v>3</v>
      </c>
      <c r="V153" s="79">
        <v>5</v>
      </c>
      <c r="W153" s="78">
        <v>5</v>
      </c>
      <c r="X153" s="79">
        <v>5</v>
      </c>
      <c r="Y153" s="79">
        <v>3</v>
      </c>
      <c r="Z153" s="79">
        <v>5</v>
      </c>
      <c r="AA153" s="79">
        <v>5</v>
      </c>
      <c r="AB153" s="79">
        <v>5</v>
      </c>
      <c r="AC153" s="79">
        <v>5</v>
      </c>
      <c r="AD153" s="79">
        <v>5</v>
      </c>
      <c r="AE153" s="79">
        <v>5</v>
      </c>
      <c r="AF153" s="79">
        <v>5</v>
      </c>
      <c r="AG153" s="79">
        <v>5</v>
      </c>
    </row>
    <row r="154" spans="1:33" ht="24.95" customHeight="1" x14ac:dyDescent="0.25">
      <c r="A154" s="7">
        <v>152</v>
      </c>
      <c r="B154" s="7" t="s">
        <v>48</v>
      </c>
      <c r="C154" s="27" t="s">
        <v>262</v>
      </c>
      <c r="D154" s="28" t="s">
        <v>263</v>
      </c>
      <c r="E154" s="25">
        <v>4</v>
      </c>
      <c r="F154" s="80" t="s">
        <v>413</v>
      </c>
      <c r="G154" s="80" t="s">
        <v>413</v>
      </c>
      <c r="H154" s="80" t="s">
        <v>413</v>
      </c>
      <c r="I154" s="80" t="s">
        <v>413</v>
      </c>
      <c r="J154" s="80" t="s">
        <v>413</v>
      </c>
      <c r="K154" s="80" t="s">
        <v>413</v>
      </c>
      <c r="L154" s="80" t="s">
        <v>413</v>
      </c>
      <c r="M154" s="80" t="s">
        <v>413</v>
      </c>
      <c r="N154" s="80" t="s">
        <v>413</v>
      </c>
      <c r="O154" s="80" t="s">
        <v>413</v>
      </c>
      <c r="P154" s="80" t="s">
        <v>413</v>
      </c>
      <c r="Q154" s="80" t="s">
        <v>413</v>
      </c>
      <c r="R154" s="81" t="s">
        <v>413</v>
      </c>
      <c r="S154" s="78" t="s">
        <v>413</v>
      </c>
      <c r="T154" s="79">
        <v>5</v>
      </c>
      <c r="U154" s="81">
        <v>3</v>
      </c>
      <c r="V154" s="79">
        <v>5</v>
      </c>
      <c r="W154" s="78">
        <v>5</v>
      </c>
      <c r="X154" s="79">
        <v>5</v>
      </c>
      <c r="Y154" s="79">
        <v>3</v>
      </c>
      <c r="Z154" s="79">
        <v>5</v>
      </c>
      <c r="AA154" s="81">
        <v>3</v>
      </c>
      <c r="AB154" s="79">
        <v>5</v>
      </c>
      <c r="AC154" s="81">
        <v>2</v>
      </c>
      <c r="AD154" s="79">
        <v>5</v>
      </c>
      <c r="AE154" s="81">
        <v>3</v>
      </c>
      <c r="AF154" s="79">
        <v>5</v>
      </c>
      <c r="AG154" s="81">
        <v>5</v>
      </c>
    </row>
    <row r="155" spans="1:33" ht="24.95" customHeight="1" x14ac:dyDescent="0.25">
      <c r="A155" s="7">
        <v>153</v>
      </c>
      <c r="B155" s="7" t="s">
        <v>48</v>
      </c>
      <c r="C155" s="27" t="s">
        <v>264</v>
      </c>
      <c r="D155" s="28" t="s">
        <v>265</v>
      </c>
      <c r="E155" s="25">
        <v>4</v>
      </c>
      <c r="F155" s="80" t="s">
        <v>413</v>
      </c>
      <c r="G155" s="80" t="s">
        <v>413</v>
      </c>
      <c r="H155" s="80" t="s">
        <v>413</v>
      </c>
      <c r="I155" s="80" t="s">
        <v>413</v>
      </c>
      <c r="J155" s="80" t="s">
        <v>413</v>
      </c>
      <c r="K155" s="80" t="s">
        <v>413</v>
      </c>
      <c r="L155" s="80" t="s">
        <v>413</v>
      </c>
      <c r="M155" s="80" t="s">
        <v>413</v>
      </c>
      <c r="N155" s="80" t="s">
        <v>413</v>
      </c>
      <c r="O155" s="80" t="s">
        <v>413</v>
      </c>
      <c r="P155" s="80" t="s">
        <v>413</v>
      </c>
      <c r="Q155" s="80" t="s">
        <v>413</v>
      </c>
      <c r="R155" s="81" t="s">
        <v>413</v>
      </c>
      <c r="S155" s="78" t="s">
        <v>413</v>
      </c>
      <c r="T155" s="79">
        <v>5</v>
      </c>
      <c r="U155" s="81">
        <v>3</v>
      </c>
      <c r="V155" s="79">
        <v>5</v>
      </c>
      <c r="W155" s="78">
        <v>3</v>
      </c>
      <c r="X155" s="79">
        <v>5</v>
      </c>
      <c r="Y155" s="79">
        <v>3</v>
      </c>
      <c r="Z155" s="79">
        <v>5</v>
      </c>
      <c r="AA155" s="81">
        <v>3</v>
      </c>
      <c r="AB155" s="79">
        <v>5</v>
      </c>
      <c r="AC155" s="81">
        <v>2</v>
      </c>
      <c r="AD155" s="79">
        <v>5</v>
      </c>
      <c r="AE155" s="81">
        <v>3</v>
      </c>
      <c r="AF155" s="79">
        <v>5</v>
      </c>
      <c r="AG155" s="81">
        <v>2</v>
      </c>
    </row>
    <row r="156" spans="1:33" ht="24.95" customHeight="1" x14ac:dyDescent="0.25">
      <c r="A156" s="7">
        <v>154</v>
      </c>
      <c r="B156" s="7" t="s">
        <v>273</v>
      </c>
      <c r="C156" s="27" t="s">
        <v>273</v>
      </c>
      <c r="D156" s="28" t="s">
        <v>272</v>
      </c>
      <c r="E156" s="23">
        <v>5</v>
      </c>
      <c r="F156" s="81">
        <v>5</v>
      </c>
      <c r="G156" s="81">
        <v>3</v>
      </c>
      <c r="H156" s="81">
        <v>5</v>
      </c>
      <c r="I156" s="81">
        <v>1</v>
      </c>
      <c r="J156" s="81">
        <v>5</v>
      </c>
      <c r="K156" s="81">
        <v>5</v>
      </c>
      <c r="L156" s="81">
        <v>5</v>
      </c>
      <c r="M156" s="81">
        <v>3</v>
      </c>
      <c r="N156" s="81" t="s">
        <v>413</v>
      </c>
      <c r="O156" s="80" t="s">
        <v>413</v>
      </c>
      <c r="P156" s="81">
        <v>5</v>
      </c>
      <c r="Q156" s="80">
        <v>3</v>
      </c>
      <c r="R156" s="81">
        <v>5</v>
      </c>
      <c r="S156" s="78">
        <v>4</v>
      </c>
      <c r="T156" s="81">
        <v>5</v>
      </c>
      <c r="U156" s="79">
        <v>5</v>
      </c>
      <c r="V156" s="81">
        <v>5</v>
      </c>
      <c r="W156" s="81">
        <v>5</v>
      </c>
      <c r="X156" s="81" t="s">
        <v>413</v>
      </c>
      <c r="Y156" s="81" t="s">
        <v>413</v>
      </c>
      <c r="Z156" s="81">
        <v>5</v>
      </c>
      <c r="AA156" s="81">
        <v>5</v>
      </c>
      <c r="AB156" s="81" t="s">
        <v>413</v>
      </c>
      <c r="AC156" s="81" t="s">
        <v>413</v>
      </c>
      <c r="AD156" s="81" t="s">
        <v>413</v>
      </c>
      <c r="AE156" s="80" t="s">
        <v>413</v>
      </c>
      <c r="AF156" s="81">
        <v>5</v>
      </c>
      <c r="AG156" s="80">
        <v>1</v>
      </c>
    </row>
    <row r="157" spans="1:33" ht="24.95" customHeight="1" x14ac:dyDescent="0.25">
      <c r="A157" s="7">
        <v>155</v>
      </c>
      <c r="B157" s="7" t="s">
        <v>273</v>
      </c>
      <c r="C157" s="27" t="s">
        <v>273</v>
      </c>
      <c r="D157" s="28" t="s">
        <v>270</v>
      </c>
      <c r="E157" s="24">
        <v>2</v>
      </c>
      <c r="F157" s="81">
        <v>5</v>
      </c>
      <c r="G157" s="81">
        <v>3</v>
      </c>
      <c r="H157" s="81">
        <v>5</v>
      </c>
      <c r="I157" s="81">
        <v>1</v>
      </c>
      <c r="J157" s="81">
        <v>5</v>
      </c>
      <c r="K157" s="81">
        <v>5</v>
      </c>
      <c r="L157" s="81">
        <v>5</v>
      </c>
      <c r="M157" s="81">
        <v>3</v>
      </c>
      <c r="N157" s="81" t="s">
        <v>413</v>
      </c>
      <c r="O157" s="81" t="s">
        <v>413</v>
      </c>
      <c r="P157" s="81">
        <v>5</v>
      </c>
      <c r="Q157" s="81">
        <v>3</v>
      </c>
      <c r="R157" s="81">
        <v>5</v>
      </c>
      <c r="S157" s="78">
        <v>5</v>
      </c>
      <c r="T157" s="79">
        <v>5</v>
      </c>
      <c r="U157" s="79">
        <v>5</v>
      </c>
      <c r="V157" s="79">
        <v>5</v>
      </c>
      <c r="W157" s="81">
        <v>5</v>
      </c>
      <c r="X157" s="79" t="s">
        <v>413</v>
      </c>
      <c r="Y157" s="79" t="s">
        <v>413</v>
      </c>
      <c r="Z157" s="79">
        <v>5</v>
      </c>
      <c r="AA157" s="79">
        <v>5</v>
      </c>
      <c r="AB157" s="79">
        <v>5</v>
      </c>
      <c r="AC157" s="79">
        <v>5</v>
      </c>
      <c r="AD157" s="79" t="s">
        <v>413</v>
      </c>
      <c r="AE157" s="79" t="s">
        <v>413</v>
      </c>
      <c r="AF157" s="79">
        <v>5</v>
      </c>
      <c r="AG157" s="79">
        <v>1</v>
      </c>
    </row>
    <row r="158" spans="1:33" ht="24.95" customHeight="1" x14ac:dyDescent="0.25">
      <c r="A158" s="7">
        <v>156</v>
      </c>
      <c r="B158" s="7" t="s">
        <v>273</v>
      </c>
      <c r="C158" s="27" t="s">
        <v>273</v>
      </c>
      <c r="D158" s="28" t="s">
        <v>271</v>
      </c>
      <c r="E158" s="24">
        <v>2</v>
      </c>
      <c r="F158" s="81">
        <v>5</v>
      </c>
      <c r="G158" s="81">
        <v>3</v>
      </c>
      <c r="H158" s="81">
        <v>5</v>
      </c>
      <c r="I158" s="81">
        <v>2</v>
      </c>
      <c r="J158" s="81">
        <v>5</v>
      </c>
      <c r="K158" s="81">
        <v>5</v>
      </c>
      <c r="L158" s="81">
        <v>5</v>
      </c>
      <c r="M158" s="81">
        <v>3</v>
      </c>
      <c r="N158" s="81" t="s">
        <v>413</v>
      </c>
      <c r="O158" s="80" t="s">
        <v>413</v>
      </c>
      <c r="P158" s="81">
        <v>5</v>
      </c>
      <c r="Q158" s="80">
        <v>3</v>
      </c>
      <c r="R158" s="81">
        <v>5</v>
      </c>
      <c r="S158" s="78">
        <v>5</v>
      </c>
      <c r="T158" s="79">
        <v>5</v>
      </c>
      <c r="U158" s="79">
        <v>5</v>
      </c>
      <c r="V158" s="79">
        <v>5</v>
      </c>
      <c r="W158" s="78">
        <v>5</v>
      </c>
      <c r="X158" s="79" t="s">
        <v>413</v>
      </c>
      <c r="Y158" s="79" t="s">
        <v>413</v>
      </c>
      <c r="Z158" s="79">
        <v>5</v>
      </c>
      <c r="AA158" s="79">
        <v>5</v>
      </c>
      <c r="AB158" s="79">
        <v>5</v>
      </c>
      <c r="AC158" s="79">
        <v>5</v>
      </c>
      <c r="AD158" s="79" t="s">
        <v>413</v>
      </c>
      <c r="AE158" s="79" t="s">
        <v>413</v>
      </c>
      <c r="AF158" s="79">
        <v>5</v>
      </c>
      <c r="AG158" s="79">
        <v>1</v>
      </c>
    </row>
    <row r="159" spans="1:33" ht="24.95" customHeight="1" x14ac:dyDescent="0.25">
      <c r="A159" s="7">
        <v>157</v>
      </c>
      <c r="B159" s="7" t="s">
        <v>273</v>
      </c>
      <c r="C159" s="27" t="s">
        <v>51</v>
      </c>
      <c r="D159" s="28" t="s">
        <v>52</v>
      </c>
      <c r="E159" s="25">
        <v>3</v>
      </c>
      <c r="F159" s="80" t="s">
        <v>413</v>
      </c>
      <c r="G159" s="80" t="s">
        <v>413</v>
      </c>
      <c r="H159" s="80" t="s">
        <v>413</v>
      </c>
      <c r="I159" s="80" t="s">
        <v>413</v>
      </c>
      <c r="J159" s="80" t="s">
        <v>413</v>
      </c>
      <c r="K159" s="80" t="s">
        <v>413</v>
      </c>
      <c r="L159" s="80" t="s">
        <v>413</v>
      </c>
      <c r="M159" s="80" t="s">
        <v>413</v>
      </c>
      <c r="N159" s="80" t="s">
        <v>413</v>
      </c>
      <c r="O159" s="80" t="s">
        <v>413</v>
      </c>
      <c r="P159" s="80" t="s">
        <v>413</v>
      </c>
      <c r="Q159" s="80" t="s">
        <v>413</v>
      </c>
      <c r="R159" s="79" t="s">
        <v>413</v>
      </c>
      <c r="S159" s="78" t="s">
        <v>413</v>
      </c>
      <c r="T159" s="79">
        <v>5</v>
      </c>
      <c r="U159" s="79">
        <v>5</v>
      </c>
      <c r="V159" s="79">
        <v>5</v>
      </c>
      <c r="W159" s="78">
        <v>5</v>
      </c>
      <c r="X159" s="79">
        <v>5</v>
      </c>
      <c r="Y159" s="79">
        <v>3</v>
      </c>
      <c r="Z159" s="79">
        <v>5</v>
      </c>
      <c r="AA159" s="81">
        <v>5</v>
      </c>
      <c r="AB159" s="79">
        <v>5</v>
      </c>
      <c r="AC159" s="79">
        <v>5</v>
      </c>
      <c r="AD159" s="79">
        <v>5</v>
      </c>
      <c r="AE159" s="81">
        <v>3</v>
      </c>
      <c r="AF159" s="79">
        <v>5</v>
      </c>
      <c r="AG159" s="81">
        <v>5</v>
      </c>
    </row>
    <row r="160" spans="1:33" ht="24.95" customHeight="1" x14ac:dyDescent="0.25">
      <c r="A160" s="7">
        <v>158</v>
      </c>
      <c r="B160" s="7" t="s">
        <v>273</v>
      </c>
      <c r="C160" s="27" t="s">
        <v>274</v>
      </c>
      <c r="D160" s="28" t="s">
        <v>275</v>
      </c>
      <c r="E160" s="23">
        <v>5</v>
      </c>
      <c r="F160" s="25" t="s">
        <v>413</v>
      </c>
      <c r="G160" s="25" t="s">
        <v>413</v>
      </c>
      <c r="H160" s="25" t="s">
        <v>413</v>
      </c>
      <c r="I160" s="25" t="s">
        <v>413</v>
      </c>
      <c r="J160" s="25" t="s">
        <v>413</v>
      </c>
      <c r="K160" s="25" t="s">
        <v>413</v>
      </c>
      <c r="L160" s="25" t="s">
        <v>413</v>
      </c>
      <c r="M160" s="25" t="s">
        <v>413</v>
      </c>
      <c r="N160" s="25" t="s">
        <v>413</v>
      </c>
      <c r="O160" s="25" t="s">
        <v>413</v>
      </c>
      <c r="P160" s="25" t="s">
        <v>413</v>
      </c>
      <c r="Q160" s="25" t="s">
        <v>413</v>
      </c>
      <c r="R160" s="25" t="s">
        <v>413</v>
      </c>
      <c r="S160" s="25" t="s">
        <v>413</v>
      </c>
      <c r="T160" s="79">
        <v>5</v>
      </c>
      <c r="U160" s="25">
        <v>1</v>
      </c>
      <c r="V160" s="79">
        <v>5</v>
      </c>
      <c r="W160" s="80">
        <v>5</v>
      </c>
      <c r="X160" s="79">
        <v>5</v>
      </c>
      <c r="Y160" s="79">
        <v>5</v>
      </c>
      <c r="Z160" s="79">
        <v>5</v>
      </c>
      <c r="AA160" s="25">
        <v>1</v>
      </c>
      <c r="AB160" s="79">
        <v>5</v>
      </c>
      <c r="AC160" s="25">
        <v>1</v>
      </c>
      <c r="AD160" s="79">
        <v>5</v>
      </c>
      <c r="AE160" s="25">
        <v>1</v>
      </c>
      <c r="AF160" s="79">
        <v>5</v>
      </c>
      <c r="AG160" s="25">
        <v>1</v>
      </c>
    </row>
    <row r="161" spans="1:33" ht="24.95" customHeight="1" x14ac:dyDescent="0.25">
      <c r="A161" s="7">
        <v>159</v>
      </c>
      <c r="B161" s="7" t="s">
        <v>273</v>
      </c>
      <c r="C161" s="27" t="s">
        <v>276</v>
      </c>
      <c r="D161" s="28" t="s">
        <v>277</v>
      </c>
      <c r="E161" s="25">
        <v>5</v>
      </c>
      <c r="F161" s="80" t="s">
        <v>413</v>
      </c>
      <c r="G161" s="80" t="s">
        <v>413</v>
      </c>
      <c r="H161" s="80" t="s">
        <v>413</v>
      </c>
      <c r="I161" s="80" t="s">
        <v>413</v>
      </c>
      <c r="J161" s="80" t="s">
        <v>413</v>
      </c>
      <c r="K161" s="80" t="s">
        <v>413</v>
      </c>
      <c r="L161" s="80" t="s">
        <v>413</v>
      </c>
      <c r="M161" s="80" t="s">
        <v>413</v>
      </c>
      <c r="N161" s="80" t="s">
        <v>413</v>
      </c>
      <c r="O161" s="80" t="s">
        <v>413</v>
      </c>
      <c r="P161" s="80" t="s">
        <v>413</v>
      </c>
      <c r="Q161" s="80" t="s">
        <v>413</v>
      </c>
      <c r="R161" s="79" t="s">
        <v>413</v>
      </c>
      <c r="S161" s="78" t="s">
        <v>413</v>
      </c>
      <c r="T161" s="79">
        <v>5</v>
      </c>
      <c r="U161" s="79">
        <v>5</v>
      </c>
      <c r="V161" s="79">
        <v>5</v>
      </c>
      <c r="W161" s="79">
        <v>5</v>
      </c>
      <c r="X161" s="79">
        <v>5</v>
      </c>
      <c r="Y161" s="79">
        <v>3</v>
      </c>
      <c r="Z161" s="79">
        <v>5</v>
      </c>
      <c r="AA161" s="81">
        <v>5</v>
      </c>
      <c r="AB161" s="79">
        <v>5</v>
      </c>
      <c r="AC161" s="81">
        <v>2</v>
      </c>
      <c r="AD161" s="79">
        <v>5</v>
      </c>
      <c r="AE161" s="81">
        <v>2</v>
      </c>
      <c r="AF161" s="79">
        <v>5</v>
      </c>
      <c r="AG161" s="81">
        <v>5</v>
      </c>
    </row>
    <row r="162" spans="1:33" ht="24.95" customHeight="1" x14ac:dyDescent="0.25">
      <c r="A162" s="7">
        <v>160</v>
      </c>
      <c r="B162" s="7" t="s">
        <v>273</v>
      </c>
      <c r="C162" s="27" t="s">
        <v>278</v>
      </c>
      <c r="D162" s="28" t="s">
        <v>279</v>
      </c>
      <c r="E162" s="25">
        <v>4</v>
      </c>
      <c r="F162" s="80" t="s">
        <v>413</v>
      </c>
      <c r="G162" s="80" t="s">
        <v>413</v>
      </c>
      <c r="H162" s="80" t="s">
        <v>413</v>
      </c>
      <c r="I162" s="80" t="s">
        <v>413</v>
      </c>
      <c r="J162" s="80" t="s">
        <v>413</v>
      </c>
      <c r="K162" s="80" t="s">
        <v>413</v>
      </c>
      <c r="L162" s="80" t="s">
        <v>413</v>
      </c>
      <c r="M162" s="80" t="s">
        <v>413</v>
      </c>
      <c r="N162" s="80" t="s">
        <v>413</v>
      </c>
      <c r="O162" s="80" t="s">
        <v>413</v>
      </c>
      <c r="P162" s="80" t="s">
        <v>413</v>
      </c>
      <c r="Q162" s="80" t="s">
        <v>413</v>
      </c>
      <c r="R162" s="79" t="s">
        <v>413</v>
      </c>
      <c r="S162" s="78" t="s">
        <v>413</v>
      </c>
      <c r="T162" s="79">
        <v>5</v>
      </c>
      <c r="U162" s="79">
        <v>5</v>
      </c>
      <c r="V162" s="79">
        <v>5</v>
      </c>
      <c r="W162" s="79">
        <v>5</v>
      </c>
      <c r="X162" s="79">
        <v>5</v>
      </c>
      <c r="Y162" s="79">
        <v>3</v>
      </c>
      <c r="Z162" s="79">
        <v>5</v>
      </c>
      <c r="AA162" s="81">
        <v>5</v>
      </c>
      <c r="AB162" s="79">
        <v>5</v>
      </c>
      <c r="AC162" s="81">
        <v>2</v>
      </c>
      <c r="AD162" s="79">
        <v>5</v>
      </c>
      <c r="AE162" s="81">
        <v>2</v>
      </c>
      <c r="AF162" s="79">
        <v>5</v>
      </c>
      <c r="AG162" s="81">
        <v>3</v>
      </c>
    </row>
    <row r="163" spans="1:33" ht="24.95" customHeight="1" x14ac:dyDescent="0.25">
      <c r="A163" s="7">
        <v>161</v>
      </c>
      <c r="B163" s="7" t="s">
        <v>273</v>
      </c>
      <c r="C163" s="27" t="s">
        <v>280</v>
      </c>
      <c r="D163" s="28" t="s">
        <v>281</v>
      </c>
      <c r="E163" s="25">
        <v>5</v>
      </c>
      <c r="F163" s="80" t="s">
        <v>413</v>
      </c>
      <c r="G163" s="80" t="s">
        <v>413</v>
      </c>
      <c r="H163" s="80" t="s">
        <v>413</v>
      </c>
      <c r="I163" s="80" t="s">
        <v>413</v>
      </c>
      <c r="J163" s="80" t="s">
        <v>413</v>
      </c>
      <c r="K163" s="80" t="s">
        <v>413</v>
      </c>
      <c r="L163" s="80" t="s">
        <v>413</v>
      </c>
      <c r="M163" s="80" t="s">
        <v>413</v>
      </c>
      <c r="N163" s="80" t="s">
        <v>413</v>
      </c>
      <c r="O163" s="80" t="s">
        <v>413</v>
      </c>
      <c r="P163" s="80" t="s">
        <v>413</v>
      </c>
      <c r="Q163" s="80" t="s">
        <v>413</v>
      </c>
      <c r="R163" s="79" t="s">
        <v>413</v>
      </c>
      <c r="S163" s="78" t="s">
        <v>413</v>
      </c>
      <c r="T163" s="79">
        <v>5</v>
      </c>
      <c r="U163" s="79">
        <v>5</v>
      </c>
      <c r="V163" s="79">
        <v>5</v>
      </c>
      <c r="W163" s="79">
        <v>5</v>
      </c>
      <c r="X163" s="79">
        <v>5</v>
      </c>
      <c r="Y163" s="79">
        <v>3</v>
      </c>
      <c r="Z163" s="79">
        <v>5</v>
      </c>
      <c r="AA163" s="81">
        <v>5</v>
      </c>
      <c r="AB163" s="79">
        <v>5</v>
      </c>
      <c r="AC163" s="81">
        <v>2</v>
      </c>
      <c r="AD163" s="79">
        <v>5</v>
      </c>
      <c r="AE163" s="81">
        <v>2</v>
      </c>
      <c r="AF163" s="79">
        <v>5</v>
      </c>
      <c r="AG163" s="81">
        <v>3</v>
      </c>
    </row>
    <row r="164" spans="1:33" ht="24.95" customHeight="1" x14ac:dyDescent="0.25">
      <c r="A164" s="7">
        <v>162</v>
      </c>
      <c r="B164" s="7" t="s">
        <v>273</v>
      </c>
      <c r="C164" s="27" t="s">
        <v>282</v>
      </c>
      <c r="D164" s="28" t="s">
        <v>283</v>
      </c>
      <c r="E164" s="25">
        <v>5</v>
      </c>
      <c r="F164" s="80" t="s">
        <v>413</v>
      </c>
      <c r="G164" s="80" t="s">
        <v>413</v>
      </c>
      <c r="H164" s="80" t="s">
        <v>413</v>
      </c>
      <c r="I164" s="80" t="s">
        <v>413</v>
      </c>
      <c r="J164" s="80" t="s">
        <v>413</v>
      </c>
      <c r="K164" s="80" t="s">
        <v>413</v>
      </c>
      <c r="L164" s="80" t="s">
        <v>413</v>
      </c>
      <c r="M164" s="80" t="s">
        <v>413</v>
      </c>
      <c r="N164" s="80" t="s">
        <v>413</v>
      </c>
      <c r="O164" s="80" t="s">
        <v>413</v>
      </c>
      <c r="P164" s="80" t="s">
        <v>413</v>
      </c>
      <c r="Q164" s="80" t="s">
        <v>413</v>
      </c>
      <c r="R164" s="79" t="s">
        <v>413</v>
      </c>
      <c r="S164" s="78" t="s">
        <v>413</v>
      </c>
      <c r="T164" s="79">
        <v>5</v>
      </c>
      <c r="U164" s="79">
        <v>5</v>
      </c>
      <c r="V164" s="79">
        <v>5</v>
      </c>
      <c r="W164" s="79">
        <v>5</v>
      </c>
      <c r="X164" s="79">
        <v>5</v>
      </c>
      <c r="Y164" s="79">
        <v>3</v>
      </c>
      <c r="Z164" s="79">
        <v>5</v>
      </c>
      <c r="AA164" s="81">
        <v>5</v>
      </c>
      <c r="AB164" s="79">
        <v>5</v>
      </c>
      <c r="AC164" s="81">
        <v>2</v>
      </c>
      <c r="AD164" s="79">
        <v>5</v>
      </c>
      <c r="AE164" s="81">
        <v>2</v>
      </c>
      <c r="AF164" s="79">
        <v>5</v>
      </c>
      <c r="AG164" s="81">
        <v>3</v>
      </c>
    </row>
    <row r="165" spans="1:33" ht="24.95" customHeight="1" x14ac:dyDescent="0.25">
      <c r="A165" s="3" t="s">
        <v>413</v>
      </c>
      <c r="B165" s="93" t="s">
        <v>305</v>
      </c>
      <c r="C165" s="94"/>
      <c r="D165" s="94"/>
      <c r="E165" s="95"/>
      <c r="F165" s="76">
        <v>120</v>
      </c>
      <c r="G165" s="77">
        <f>SUM(G3:G164)</f>
        <v>81</v>
      </c>
      <c r="H165" s="77">
        <v>120</v>
      </c>
      <c r="I165" s="77">
        <f>SUM(I3:I164)</f>
        <v>32</v>
      </c>
      <c r="J165" s="77">
        <v>120</v>
      </c>
      <c r="K165" s="77">
        <f>SUM(K3:K164)</f>
        <v>100</v>
      </c>
      <c r="L165" s="77">
        <v>120</v>
      </c>
      <c r="M165" s="77">
        <f>SUM(M3:M164)</f>
        <v>99</v>
      </c>
      <c r="N165" s="77">
        <v>50</v>
      </c>
      <c r="O165" s="77">
        <f>SUM(O3:O164)</f>
        <v>33</v>
      </c>
      <c r="P165" s="77">
        <v>120</v>
      </c>
      <c r="Q165" s="77">
        <f>SUM(Q3:Q164)</f>
        <v>76</v>
      </c>
      <c r="R165" s="77">
        <v>120</v>
      </c>
      <c r="S165" s="77">
        <f t="shared" ref="S165:AG165" si="0">SUM(S3:S164)</f>
        <v>111</v>
      </c>
      <c r="T165" s="77">
        <f t="shared" si="0"/>
        <v>705</v>
      </c>
      <c r="U165" s="77">
        <f t="shared" si="0"/>
        <v>623</v>
      </c>
      <c r="V165" s="77">
        <f t="shared" si="0"/>
        <v>705</v>
      </c>
      <c r="W165" s="77">
        <f t="shared" si="0"/>
        <v>699</v>
      </c>
      <c r="X165" s="77">
        <f t="shared" si="0"/>
        <v>690</v>
      </c>
      <c r="Y165" s="77">
        <f t="shared" si="0"/>
        <v>600</v>
      </c>
      <c r="Z165" s="77">
        <f t="shared" si="0"/>
        <v>700</v>
      </c>
      <c r="AA165" s="77">
        <f t="shared" si="0"/>
        <v>622</v>
      </c>
      <c r="AB165" s="77">
        <f t="shared" si="0"/>
        <v>710</v>
      </c>
      <c r="AC165" s="77">
        <f t="shared" si="0"/>
        <v>516</v>
      </c>
      <c r="AD165" s="77">
        <f t="shared" si="0"/>
        <v>685</v>
      </c>
      <c r="AE165" s="77">
        <f t="shared" si="0"/>
        <v>465</v>
      </c>
      <c r="AF165" s="77">
        <f t="shared" si="0"/>
        <v>705</v>
      </c>
      <c r="AG165" s="77">
        <f t="shared" si="0"/>
        <v>547</v>
      </c>
    </row>
  </sheetData>
  <autoFilter ref="A2:AG165" xr:uid="{00000000-0001-0000-0000-000000000000}"/>
  <mergeCells count="6">
    <mergeCell ref="B165:E165"/>
    <mergeCell ref="A1:A2"/>
    <mergeCell ref="B1:B2"/>
    <mergeCell ref="C1:C2"/>
    <mergeCell ref="D1:D2"/>
    <mergeCell ref="E1:E2"/>
  </mergeCells>
  <phoneticPr fontId="5" type="noConversion"/>
  <conditionalFormatting sqref="E3:E164">
    <cfRule type="cellIs" dxfId="10" priority="8" operator="equal">
      <formula>1</formula>
    </cfRule>
    <cfRule type="cellIs" dxfId="9" priority="9" operator="equal">
      <formula>2</formula>
    </cfRule>
    <cfRule type="cellIs" dxfId="8" priority="10" operator="equal">
      <formula>3</formula>
    </cfRule>
    <cfRule type="cellIs" dxfId="7" priority="11" operator="equal">
      <formula>4</formula>
    </cfRule>
    <cfRule type="cellIs" dxfId="6" priority="12" operator="equal">
      <formula>5</formula>
    </cfRule>
  </conditionalFormatting>
  <conditionalFormatting sqref="F3:AG164">
    <cfRule type="cellIs" dxfId="5" priority="1" operator="equal">
      <formula>"-"</formula>
    </cfRule>
    <cfRule type="cellIs" dxfId="4" priority="3" operator="equal">
      <formula>1</formula>
    </cfRule>
    <cfRule type="cellIs" dxfId="3" priority="4" operator="equal">
      <formula>2</formula>
    </cfRule>
    <cfRule type="cellIs" dxfId="2" priority="5" operator="equal">
      <formula>3</formula>
    </cfRule>
    <cfRule type="cellIs" dxfId="1" priority="6" operator="equal">
      <formula>4</formula>
    </cfRule>
    <cfRule type="cellIs" dxfId="0" priority="7" operator="equal">
      <formula>5</formula>
    </cfRule>
  </conditionalFormatting>
  <dataValidations count="1">
    <dataValidation type="whole" operator="greaterThan" allowBlank="1" showInputMessage="1" showErrorMessage="1" sqref="H5:H11 Y140 Y146:Y149 AG84:AG85 P3:P11 AA92:AA96 G14:N15 Y160 AE84:AE85 W8 G27:N48 AG88 AE147:AE149 G92:L92 G78:N80 AG105:AG106 AG92 Y94:Y96 S73:V73 AG94:AG96 AG109:AG111 Y120:Y125 AG73:AG77 AA113 Z138:AB138 AG126:AG129 AG152:AG153 AG156:AG158 Y92 AG10:AG18 W3:W6 J66:J74 K8 U91:U113 AG137:AG140 E139:F164 I10 W66:W71 H73:I73 Q10:V10 G98:L99 AA157:AA158 M146:N146 G159:N159 AG100:AG102 G13:L13 G147:N149 G151:N155 Y75:Y85 R137 AC152:AC153 G66:I67 N3:N11 Y127:Y131 AC139 E120:F137 E84:F118 AG115:AG118 G3:H4 G7:G8 AC98:AC102 G70:G71 H70 H72 H74 R66:R74 H137 I3:I6 I8 J3:J11 K3:K6 L3:L11 O10 AA109:AA111 R127:R129 AA74:AA86 R103:R113 AA36:AA59 AA11:AA13 R16:R27 O31:S48 AA105:AA106 AA127:AA129 S70:V70 AA115:AA125 AA98:AA102 AA139 AA152:AA153 AA16:AA34 R94:R96 AG133:AG135 AC133:AC135 R91:R92 R3:R12 R29:R35 S7:V7 AC115:AC118 N156:N158 AF10:AF71 G16:S18 AG26:AG71 U115:U118 AC94:AC96 AG147:AG149 N66:N74 AC127:AC129 AC105:AC106 T3:V8 AC92 AC84:AC85 AC157:AC159 AC74:AC77 AC11:AC18 G93:V93 AC109:AC111 AC147:AC149 AC26:AC59 R151:R159 Y133:Y136 AB74:AB164 H71:I71 H68:I69 K71 L66:L74 O73 P66:P74 Q73 H139 J137 J139 L137 L139 N137 N139 P137 P139 R139 H156:H158 J156:J158 L156:L158 O151:O156 O158:O159 P151:P159 Q158:Q159 Q151:Q156 S14:S27 O27:S29 O50:S56 G64:S65 S103:S111 G107:S108 G104:S104 R75:S85 S92:S96 U121:U131 S123:S129 G121:S127 O134:S135 R120:V120 R115:S118 R98:S102 M97:S99 G112:S113 S136:S138 E83:V83 G91:V91 G130:S131 E119:V119 U75:U86 M86:S86 O78:S78 O146:S149 G141:S145 S140:S159 G161:S164 G12:V12 R133:S135 T74:T164 AC61:AC71 E138:X138 O60:S62 R50:S65 T11:T71 AB11:AB71 E3:F82 G50:N63 U14:U48 U50:U71 U161:U164 U140:U159 V11:V71 U133:U138 V74:V164 AB120:AG120 AF73:AF164 W158:W164 W140:W155 X11:X71 X74:X164 X91:AB91 Y115:Y118 Y98:Y113 Y50:Y71 Y28:Y48 Y152:Y153 Y16:Y26 Y144 Z11:Z71 Z74:Z164 X73:AD73 X10:AD10 AA61:AA71 AA132:AA136 AA147:AA149 AD11:AD71 AD74:AD164 AE26:AE71 AE133:AE135 AE88 AE115:AE118 AE100:AE102 AE137:AE140 AE10:AE18 AE156:AE158 AE152:AE153 AE126:AE129 AE73:AE77 AE109:AE111 AE94:AE96 AE92 AE105:AE106 X3:AG8" xr:uid="{A9CC8F85-DABB-498B-8577-7757537DAA74}">
      <formula1>-1000000</formula1>
    </dataValidation>
  </dataValidations>
  <printOptions horizontalCentered="1" verticalCentered="1"/>
  <pageMargins left="0.27559055118110237" right="0.23622047244094491" top="0.39370078740157483" bottom="0.19685039370078741" header="0.23622047244094491" footer="0.11811023622047245"/>
  <pageSetup paperSize="9" scale="12" orientation="landscape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39F6-C880-4EC4-9B0C-23AAA934E40F}">
  <dimension ref="B5:H17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5" x14ac:dyDescent="0.25"/>
  <cols>
    <col min="1" max="1" width="5.42578125" customWidth="1"/>
    <col min="2" max="2" width="15.42578125" bestFit="1" customWidth="1"/>
    <col min="8" max="8" width="40.5703125" customWidth="1"/>
    <col min="9" max="9" width="10" customWidth="1"/>
  </cols>
  <sheetData>
    <row r="5" spans="2:8" x14ac:dyDescent="0.25">
      <c r="B5" s="8" t="s">
        <v>303</v>
      </c>
      <c r="C5" s="8" t="s">
        <v>304</v>
      </c>
      <c r="G5" s="8" t="s">
        <v>304</v>
      </c>
      <c r="H5" s="17" t="s">
        <v>298</v>
      </c>
    </row>
    <row r="6" spans="2:8" ht="85.15" customHeight="1" x14ac:dyDescent="0.25">
      <c r="B6" s="9" t="s">
        <v>293</v>
      </c>
      <c r="C6" s="10">
        <v>5</v>
      </c>
      <c r="G6" s="10">
        <v>5</v>
      </c>
      <c r="H6" s="18" t="s">
        <v>314</v>
      </c>
    </row>
    <row r="7" spans="2:8" ht="60" x14ac:dyDescent="0.25">
      <c r="B7" s="9" t="s">
        <v>294</v>
      </c>
      <c r="C7" s="11">
        <v>4</v>
      </c>
      <c r="G7" s="11">
        <v>4</v>
      </c>
      <c r="H7" s="18" t="s">
        <v>315</v>
      </c>
    </row>
    <row r="8" spans="2:8" ht="75" x14ac:dyDescent="0.25">
      <c r="B8" s="9" t="s">
        <v>295</v>
      </c>
      <c r="C8" s="12">
        <v>3</v>
      </c>
      <c r="G8" s="12">
        <v>3</v>
      </c>
      <c r="H8" s="18" t="s">
        <v>311</v>
      </c>
    </row>
    <row r="9" spans="2:8" ht="60" x14ac:dyDescent="0.25">
      <c r="B9" s="9" t="s">
        <v>297</v>
      </c>
      <c r="C9" s="13">
        <v>2</v>
      </c>
      <c r="G9" s="13">
        <v>2</v>
      </c>
      <c r="H9" s="18" t="s">
        <v>312</v>
      </c>
    </row>
    <row r="10" spans="2:8" ht="45" x14ac:dyDescent="0.25">
      <c r="B10" s="9" t="s">
        <v>296</v>
      </c>
      <c r="C10" s="14">
        <v>1</v>
      </c>
      <c r="G10" s="14">
        <v>1</v>
      </c>
      <c r="H10" s="18" t="s">
        <v>313</v>
      </c>
    </row>
    <row r="12" spans="2:8" x14ac:dyDescent="0.25">
      <c r="B12" s="8" t="s">
        <v>303</v>
      </c>
      <c r="C12" s="8" t="s">
        <v>304</v>
      </c>
      <c r="G12" s="8" t="s">
        <v>304</v>
      </c>
      <c r="H12" s="17" t="s">
        <v>298</v>
      </c>
    </row>
    <row r="13" spans="2:8" ht="75" x14ac:dyDescent="0.25">
      <c r="B13" s="9" t="s">
        <v>307</v>
      </c>
      <c r="C13" s="19">
        <v>5</v>
      </c>
      <c r="G13" s="19">
        <v>5</v>
      </c>
      <c r="H13" s="18" t="s">
        <v>320</v>
      </c>
    </row>
    <row r="14" spans="2:8" ht="60" x14ac:dyDescent="0.25">
      <c r="B14" s="9" t="s">
        <v>308</v>
      </c>
      <c r="C14" s="14">
        <v>4</v>
      </c>
      <c r="G14" s="14">
        <v>4</v>
      </c>
      <c r="H14" s="18" t="s">
        <v>319</v>
      </c>
    </row>
    <row r="15" spans="2:8" ht="45" x14ac:dyDescent="0.25">
      <c r="B15" s="9" t="s">
        <v>295</v>
      </c>
      <c r="C15" s="20">
        <v>3</v>
      </c>
      <c r="G15" s="20">
        <v>3</v>
      </c>
      <c r="H15" s="18" t="s">
        <v>318</v>
      </c>
    </row>
    <row r="16" spans="2:8" ht="45" x14ac:dyDescent="0.25">
      <c r="B16" s="9" t="s">
        <v>309</v>
      </c>
      <c r="C16" s="21">
        <v>2</v>
      </c>
      <c r="G16" s="21">
        <v>2</v>
      </c>
      <c r="H16" s="18" t="s">
        <v>317</v>
      </c>
    </row>
    <row r="17" spans="2:8" ht="60" x14ac:dyDescent="0.25">
      <c r="B17" s="9" t="s">
        <v>310</v>
      </c>
      <c r="C17" s="22">
        <v>1</v>
      </c>
      <c r="G17" s="22">
        <v>1</v>
      </c>
      <c r="H17" s="18" t="s">
        <v>316</v>
      </c>
    </row>
  </sheetData>
  <dataValidations count="1">
    <dataValidation type="whole" operator="greaterThan" allowBlank="1" showInputMessage="1" showErrorMessage="1" sqref="C6:C10 G6:G10 C13:C17 G13:G17" xr:uid="{04C13399-7C7D-4295-BEFC-441FB942C2B4}">
      <formula1>-1000000</formula1>
    </dataValidation>
  </dataValidation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2CDF-820C-412C-9352-483C4C8F3312}">
  <dimension ref="B5:G173"/>
  <sheetViews>
    <sheetView showGridLines="0" zoomScale="115" zoomScaleNormal="115" workbookViewId="0">
      <pane ySplit="4" topLeftCell="A5" activePane="bottomLeft" state="frozen"/>
      <selection pane="bottomLeft"/>
    </sheetView>
  </sheetViews>
  <sheetFormatPr defaultRowHeight="15" x14ac:dyDescent="0.25"/>
  <cols>
    <col min="1" max="1" width="6.5703125" bestFit="1" customWidth="1"/>
    <col min="2" max="2" width="22.42578125" bestFit="1" customWidth="1"/>
    <col min="4" max="4" width="50.7109375" bestFit="1" customWidth="1"/>
    <col min="5" max="5" width="5.42578125" bestFit="1" customWidth="1"/>
    <col min="6" max="6" width="21.42578125" bestFit="1" customWidth="1"/>
    <col min="7" max="7" width="24.140625" customWidth="1"/>
    <col min="8" max="8" width="54.42578125" customWidth="1"/>
  </cols>
  <sheetData>
    <row r="5" spans="2:7" x14ac:dyDescent="0.25">
      <c r="B5" s="15" t="s">
        <v>302</v>
      </c>
      <c r="C5" s="15"/>
      <c r="D5" s="15"/>
      <c r="E5" s="15"/>
      <c r="F5" s="15"/>
      <c r="G5" s="15"/>
    </row>
    <row r="7" spans="2:7" ht="15.75" x14ac:dyDescent="0.25">
      <c r="B7" s="6" t="s">
        <v>299</v>
      </c>
      <c r="D7" s="6" t="s">
        <v>409</v>
      </c>
      <c r="F7" s="6" t="s">
        <v>365</v>
      </c>
      <c r="G7" s="6" t="s">
        <v>365</v>
      </c>
    </row>
    <row r="8" spans="2:7" ht="15.75" x14ac:dyDescent="0.25">
      <c r="B8" s="54" t="s">
        <v>50</v>
      </c>
      <c r="D8" s="54" t="s">
        <v>332</v>
      </c>
      <c r="F8" s="53" t="s">
        <v>286</v>
      </c>
      <c r="G8" s="53" t="s">
        <v>420</v>
      </c>
    </row>
    <row r="9" spans="2:7" ht="15.75" x14ac:dyDescent="0.25">
      <c r="B9" s="54" t="s">
        <v>49</v>
      </c>
      <c r="D9" s="54" t="s">
        <v>333</v>
      </c>
      <c r="F9" s="53" t="s">
        <v>410</v>
      </c>
      <c r="G9" s="53" t="s">
        <v>422</v>
      </c>
    </row>
    <row r="10" spans="2:7" ht="15.75" x14ac:dyDescent="0.25">
      <c r="B10" s="54" t="s">
        <v>48</v>
      </c>
      <c r="D10" s="54" t="s">
        <v>334</v>
      </c>
      <c r="F10" s="53" t="s">
        <v>288</v>
      </c>
      <c r="G10" s="53" t="s">
        <v>423</v>
      </c>
    </row>
    <row r="11" spans="2:7" ht="15.75" x14ac:dyDescent="0.25">
      <c r="B11" s="54" t="s">
        <v>273</v>
      </c>
      <c r="D11" s="54" t="s">
        <v>335</v>
      </c>
      <c r="F11" s="53" t="s">
        <v>285</v>
      </c>
      <c r="G11" s="53" t="s">
        <v>424</v>
      </c>
    </row>
    <row r="12" spans="2:7" ht="15.75" x14ac:dyDescent="0.25">
      <c r="D12" s="54" t="s">
        <v>336</v>
      </c>
      <c r="F12" s="53" t="s">
        <v>375</v>
      </c>
      <c r="G12" s="53" t="s">
        <v>425</v>
      </c>
    </row>
    <row r="13" spans="2:7" ht="15.75" x14ac:dyDescent="0.25">
      <c r="D13" s="54" t="s">
        <v>337</v>
      </c>
      <c r="F13" s="53" t="s">
        <v>25</v>
      </c>
      <c r="G13" s="53" t="s">
        <v>426</v>
      </c>
    </row>
    <row r="14" spans="2:7" ht="15.75" x14ac:dyDescent="0.25">
      <c r="D14" s="54" t="s">
        <v>338</v>
      </c>
      <c r="F14" s="53" t="s">
        <v>284</v>
      </c>
      <c r="G14" s="53" t="s">
        <v>427</v>
      </c>
    </row>
    <row r="15" spans="2:7" ht="15.75" x14ac:dyDescent="0.25">
      <c r="D15" s="54" t="s">
        <v>339</v>
      </c>
      <c r="F15" s="53" t="s">
        <v>26</v>
      </c>
      <c r="G15" s="53" t="s">
        <v>428</v>
      </c>
    </row>
    <row r="16" spans="2:7" ht="15.75" x14ac:dyDescent="0.25">
      <c r="D16" s="54" t="s">
        <v>340</v>
      </c>
      <c r="F16" s="53" t="s">
        <v>290</v>
      </c>
      <c r="G16" s="53" t="s">
        <v>429</v>
      </c>
    </row>
    <row r="17" spans="4:7" ht="15.75" x14ac:dyDescent="0.25">
      <c r="D17" s="33" t="s">
        <v>104</v>
      </c>
      <c r="F17" s="53" t="s">
        <v>291</v>
      </c>
      <c r="G17" s="53" t="s">
        <v>430</v>
      </c>
    </row>
    <row r="18" spans="4:7" ht="15.75" x14ac:dyDescent="0.25">
      <c r="D18" s="33" t="s">
        <v>30</v>
      </c>
      <c r="F18" s="53" t="s">
        <v>24</v>
      </c>
      <c r="G18" s="53" t="s">
        <v>431</v>
      </c>
    </row>
    <row r="19" spans="4:7" ht="15.75" x14ac:dyDescent="0.25">
      <c r="D19" s="33" t="s">
        <v>106</v>
      </c>
      <c r="F19" s="53" t="s">
        <v>292</v>
      </c>
      <c r="G19" s="53" t="s">
        <v>432</v>
      </c>
    </row>
    <row r="20" spans="4:7" ht="15.75" x14ac:dyDescent="0.25">
      <c r="D20" s="33" t="s">
        <v>108</v>
      </c>
      <c r="F20" s="53" t="s">
        <v>372</v>
      </c>
      <c r="G20" s="53" t="s">
        <v>433</v>
      </c>
    </row>
    <row r="21" spans="4:7" ht="15.75" x14ac:dyDescent="0.25">
      <c r="D21" s="33" t="s">
        <v>28</v>
      </c>
      <c r="F21" s="53" t="s">
        <v>373</v>
      </c>
      <c r="G21" s="53" t="s">
        <v>434</v>
      </c>
    </row>
    <row r="22" spans="4:7" ht="15.75" x14ac:dyDescent="0.25">
      <c r="D22" s="33" t="s">
        <v>109</v>
      </c>
    </row>
    <row r="23" spans="4:7" ht="15.75" x14ac:dyDescent="0.25">
      <c r="D23" s="33" t="s">
        <v>31</v>
      </c>
    </row>
    <row r="24" spans="4:7" ht="15.75" x14ac:dyDescent="0.25">
      <c r="D24" s="33" t="s">
        <v>32</v>
      </c>
    </row>
    <row r="25" spans="4:7" ht="15.75" x14ac:dyDescent="0.25">
      <c r="D25" s="33" t="s">
        <v>33</v>
      </c>
    </row>
    <row r="26" spans="4:7" ht="15.75" x14ac:dyDescent="0.25">
      <c r="D26" s="33" t="s">
        <v>34</v>
      </c>
    </row>
    <row r="27" spans="4:7" ht="15.75" x14ac:dyDescent="0.25">
      <c r="D27" s="33" t="s">
        <v>35</v>
      </c>
    </row>
    <row r="28" spans="4:7" ht="15.75" x14ac:dyDescent="0.25">
      <c r="D28" s="33" t="s">
        <v>36</v>
      </c>
    </row>
    <row r="29" spans="4:7" ht="15.75" x14ac:dyDescent="0.25">
      <c r="D29" s="33" t="s">
        <v>37</v>
      </c>
    </row>
    <row r="30" spans="4:7" ht="15.75" x14ac:dyDescent="0.25">
      <c r="D30" s="33" t="s">
        <v>38</v>
      </c>
    </row>
    <row r="31" spans="4:7" ht="15.75" x14ac:dyDescent="0.25">
      <c r="D31" s="33" t="s">
        <v>110</v>
      </c>
    </row>
    <row r="32" spans="4:7" ht="15.75" x14ac:dyDescent="0.25">
      <c r="D32" s="33" t="s">
        <v>112</v>
      </c>
    </row>
    <row r="33" spans="4:4" ht="15.75" x14ac:dyDescent="0.25">
      <c r="D33" s="33" t="s">
        <v>114</v>
      </c>
    </row>
    <row r="34" spans="4:4" ht="15.75" x14ac:dyDescent="0.25">
      <c r="D34" s="33" t="s">
        <v>115</v>
      </c>
    </row>
    <row r="35" spans="4:4" ht="15.75" x14ac:dyDescent="0.25">
      <c r="D35" s="33" t="s">
        <v>117</v>
      </c>
    </row>
    <row r="36" spans="4:4" ht="15.75" x14ac:dyDescent="0.25">
      <c r="D36" s="33" t="s">
        <v>119</v>
      </c>
    </row>
    <row r="37" spans="4:4" ht="15.75" x14ac:dyDescent="0.25">
      <c r="D37" s="33" t="s">
        <v>39</v>
      </c>
    </row>
    <row r="38" spans="4:4" ht="15.75" x14ac:dyDescent="0.25">
      <c r="D38" s="33" t="s">
        <v>121</v>
      </c>
    </row>
    <row r="39" spans="4:4" ht="15.75" x14ac:dyDescent="0.25">
      <c r="D39" s="33" t="s">
        <v>123</v>
      </c>
    </row>
    <row r="40" spans="4:4" ht="15.75" x14ac:dyDescent="0.25">
      <c r="D40" s="33" t="s">
        <v>124</v>
      </c>
    </row>
    <row r="41" spans="4:4" ht="15.75" x14ac:dyDescent="0.25">
      <c r="D41" s="33" t="s">
        <v>40</v>
      </c>
    </row>
    <row r="42" spans="4:4" ht="15.75" x14ac:dyDescent="0.25">
      <c r="D42" s="33" t="s">
        <v>41</v>
      </c>
    </row>
    <row r="43" spans="4:4" ht="15.75" x14ac:dyDescent="0.25">
      <c r="D43" s="33" t="s">
        <v>42</v>
      </c>
    </row>
    <row r="44" spans="4:4" ht="15.75" x14ac:dyDescent="0.25">
      <c r="D44" s="33" t="s">
        <v>43</v>
      </c>
    </row>
    <row r="45" spans="4:4" ht="15.75" x14ac:dyDescent="0.25">
      <c r="D45" s="33" t="s">
        <v>44</v>
      </c>
    </row>
    <row r="46" spans="4:4" ht="15.75" x14ac:dyDescent="0.25">
      <c r="D46" s="33" t="s">
        <v>126</v>
      </c>
    </row>
    <row r="47" spans="4:4" ht="15.75" x14ac:dyDescent="0.25">
      <c r="D47" s="33" t="s">
        <v>45</v>
      </c>
    </row>
    <row r="48" spans="4:4" ht="15.75" x14ac:dyDescent="0.25">
      <c r="D48" s="33" t="s">
        <v>128</v>
      </c>
    </row>
    <row r="49" spans="4:4" ht="15.75" x14ac:dyDescent="0.25">
      <c r="D49" s="33" t="s">
        <v>130</v>
      </c>
    </row>
    <row r="50" spans="4:4" ht="15.75" x14ac:dyDescent="0.25">
      <c r="D50" s="33" t="s">
        <v>132</v>
      </c>
    </row>
    <row r="51" spans="4:4" ht="15.75" x14ac:dyDescent="0.25">
      <c r="D51" s="33" t="s">
        <v>134</v>
      </c>
    </row>
    <row r="52" spans="4:4" ht="15.75" x14ac:dyDescent="0.25">
      <c r="D52" s="33" t="s">
        <v>136</v>
      </c>
    </row>
    <row r="53" spans="4:4" ht="15.75" x14ac:dyDescent="0.25">
      <c r="D53" s="33" t="s">
        <v>138</v>
      </c>
    </row>
    <row r="54" spans="4:4" ht="15.75" x14ac:dyDescent="0.25">
      <c r="D54" s="33" t="s">
        <v>140</v>
      </c>
    </row>
    <row r="55" spans="4:4" ht="15.75" x14ac:dyDescent="0.25">
      <c r="D55" s="33" t="s">
        <v>142</v>
      </c>
    </row>
    <row r="56" spans="4:4" ht="15.75" x14ac:dyDescent="0.25">
      <c r="D56" s="33" t="s">
        <v>144</v>
      </c>
    </row>
    <row r="57" spans="4:4" ht="15.75" x14ac:dyDescent="0.25">
      <c r="D57" s="33" t="s">
        <v>146</v>
      </c>
    </row>
    <row r="58" spans="4:4" ht="15.75" x14ac:dyDescent="0.25">
      <c r="D58" s="33" t="s">
        <v>148</v>
      </c>
    </row>
    <row r="59" spans="4:4" ht="15.75" x14ac:dyDescent="0.25">
      <c r="D59" s="33" t="s">
        <v>150</v>
      </c>
    </row>
    <row r="60" spans="4:4" ht="15.75" x14ac:dyDescent="0.25">
      <c r="D60" s="33" t="s">
        <v>152</v>
      </c>
    </row>
    <row r="61" spans="4:4" ht="15.75" x14ac:dyDescent="0.25">
      <c r="D61" s="33" t="s">
        <v>154</v>
      </c>
    </row>
    <row r="62" spans="4:4" ht="15.75" x14ac:dyDescent="0.25">
      <c r="D62" s="33" t="s">
        <v>156</v>
      </c>
    </row>
    <row r="63" spans="4:4" ht="15.75" x14ac:dyDescent="0.25">
      <c r="D63" s="33" t="s">
        <v>158</v>
      </c>
    </row>
    <row r="64" spans="4:4" ht="15.75" x14ac:dyDescent="0.25">
      <c r="D64" s="33" t="s">
        <v>29</v>
      </c>
    </row>
    <row r="65" spans="4:4" ht="15.75" x14ac:dyDescent="0.25">
      <c r="D65" s="33" t="s">
        <v>27</v>
      </c>
    </row>
    <row r="66" spans="4:4" ht="15.75" x14ac:dyDescent="0.25">
      <c r="D66" s="33" t="s">
        <v>46</v>
      </c>
    </row>
    <row r="67" spans="4:4" ht="15.75" x14ac:dyDescent="0.25">
      <c r="D67" s="33" t="s">
        <v>161</v>
      </c>
    </row>
    <row r="68" spans="4:4" ht="15.75" x14ac:dyDescent="0.25">
      <c r="D68" s="33" t="s">
        <v>163</v>
      </c>
    </row>
    <row r="69" spans="4:4" ht="15.75" x14ac:dyDescent="0.25">
      <c r="D69" s="33" t="s">
        <v>165</v>
      </c>
    </row>
    <row r="70" spans="4:4" ht="15.75" x14ac:dyDescent="0.25">
      <c r="D70" s="33" t="s">
        <v>47</v>
      </c>
    </row>
    <row r="71" spans="4:4" ht="15.75" x14ac:dyDescent="0.25">
      <c r="D71" s="33" t="s">
        <v>167</v>
      </c>
    </row>
    <row r="72" spans="4:4" ht="15.75" x14ac:dyDescent="0.25">
      <c r="D72" s="54" t="s">
        <v>341</v>
      </c>
    </row>
    <row r="73" spans="4:4" ht="15.75" x14ac:dyDescent="0.25">
      <c r="D73" s="54" t="s">
        <v>342</v>
      </c>
    </row>
    <row r="74" spans="4:4" ht="15.75" x14ac:dyDescent="0.25">
      <c r="D74" s="54" t="s">
        <v>343</v>
      </c>
    </row>
    <row r="75" spans="4:4" ht="15.75" x14ac:dyDescent="0.25">
      <c r="D75" s="54" t="s">
        <v>344</v>
      </c>
    </row>
    <row r="76" spans="4:4" ht="15.75" x14ac:dyDescent="0.25">
      <c r="D76" s="54" t="s">
        <v>345</v>
      </c>
    </row>
    <row r="77" spans="4:4" ht="15.75" x14ac:dyDescent="0.25">
      <c r="D77" s="54" t="s">
        <v>346</v>
      </c>
    </row>
    <row r="78" spans="4:4" ht="15.75" x14ac:dyDescent="0.25">
      <c r="D78" s="54" t="s">
        <v>347</v>
      </c>
    </row>
    <row r="79" spans="4:4" ht="15.75" x14ac:dyDescent="0.25">
      <c r="D79" s="54" t="s">
        <v>348</v>
      </c>
    </row>
    <row r="80" spans="4:4" ht="15.75" x14ac:dyDescent="0.25">
      <c r="D80" s="54" t="s">
        <v>349</v>
      </c>
    </row>
    <row r="81" spans="4:4" ht="15.75" x14ac:dyDescent="0.25">
      <c r="D81" s="33" t="s">
        <v>169</v>
      </c>
    </row>
    <row r="82" spans="4:4" ht="15.75" x14ac:dyDescent="0.25">
      <c r="D82" s="33" t="s">
        <v>171</v>
      </c>
    </row>
    <row r="83" spans="4:4" ht="15.75" x14ac:dyDescent="0.25">
      <c r="D83" s="33" t="s">
        <v>173</v>
      </c>
    </row>
    <row r="84" spans="4:4" ht="15.75" x14ac:dyDescent="0.25">
      <c r="D84" s="33" t="s">
        <v>82</v>
      </c>
    </row>
    <row r="85" spans="4:4" ht="15.75" x14ac:dyDescent="0.25">
      <c r="D85" s="33" t="s">
        <v>175</v>
      </c>
    </row>
    <row r="86" spans="4:4" ht="15.75" x14ac:dyDescent="0.25">
      <c r="D86" s="33" t="s">
        <v>177</v>
      </c>
    </row>
    <row r="87" spans="4:4" ht="15.75" x14ac:dyDescent="0.25">
      <c r="D87" s="33" t="s">
        <v>36</v>
      </c>
    </row>
    <row r="88" spans="4:4" ht="15.75" x14ac:dyDescent="0.25">
      <c r="D88" s="33" t="s">
        <v>71</v>
      </c>
    </row>
    <row r="89" spans="4:4" ht="15.75" x14ac:dyDescent="0.25">
      <c r="D89" s="33" t="s">
        <v>75</v>
      </c>
    </row>
    <row r="90" spans="4:4" ht="15.75" x14ac:dyDescent="0.25">
      <c r="D90" s="33" t="s">
        <v>84</v>
      </c>
    </row>
    <row r="91" spans="4:4" ht="15.75" x14ac:dyDescent="0.25">
      <c r="D91" s="33" t="s">
        <v>86</v>
      </c>
    </row>
    <row r="92" spans="4:4" ht="15.75" x14ac:dyDescent="0.25">
      <c r="D92" s="33" t="s">
        <v>179</v>
      </c>
    </row>
    <row r="93" spans="4:4" ht="15.75" x14ac:dyDescent="0.25">
      <c r="D93" s="33" t="s">
        <v>112</v>
      </c>
    </row>
    <row r="94" spans="4:4" ht="15.75" x14ac:dyDescent="0.25">
      <c r="D94" s="33" t="s">
        <v>88</v>
      </c>
    </row>
    <row r="95" spans="4:4" ht="15.75" x14ac:dyDescent="0.25">
      <c r="D95" s="33" t="s">
        <v>181</v>
      </c>
    </row>
    <row r="96" spans="4:4" ht="15.75" x14ac:dyDescent="0.25">
      <c r="D96" s="33" t="s">
        <v>183</v>
      </c>
    </row>
    <row r="97" spans="4:4" ht="15.75" x14ac:dyDescent="0.25">
      <c r="D97" s="33" t="s">
        <v>54</v>
      </c>
    </row>
    <row r="98" spans="4:4" ht="15.75" x14ac:dyDescent="0.25">
      <c r="D98" s="33" t="s">
        <v>185</v>
      </c>
    </row>
    <row r="99" spans="4:4" ht="15.75" x14ac:dyDescent="0.25">
      <c r="D99" s="33" t="s">
        <v>90</v>
      </c>
    </row>
    <row r="100" spans="4:4" ht="15.75" x14ac:dyDescent="0.25">
      <c r="D100" s="33" t="s">
        <v>187</v>
      </c>
    </row>
    <row r="101" spans="4:4" ht="15.75" x14ac:dyDescent="0.25">
      <c r="D101" s="33" t="s">
        <v>189</v>
      </c>
    </row>
    <row r="102" spans="4:4" ht="15.75" x14ac:dyDescent="0.25">
      <c r="D102" s="33" t="s">
        <v>191</v>
      </c>
    </row>
    <row r="103" spans="4:4" ht="15.75" x14ac:dyDescent="0.25">
      <c r="D103" s="33" t="s">
        <v>193</v>
      </c>
    </row>
    <row r="104" spans="4:4" ht="15.75" x14ac:dyDescent="0.25">
      <c r="D104" s="33" t="s">
        <v>195</v>
      </c>
    </row>
    <row r="105" spans="4:4" ht="15.75" x14ac:dyDescent="0.25">
      <c r="D105" s="33" t="s">
        <v>197</v>
      </c>
    </row>
    <row r="106" spans="4:4" ht="15.75" x14ac:dyDescent="0.25">
      <c r="D106" s="33" t="s">
        <v>92</v>
      </c>
    </row>
    <row r="107" spans="4:4" ht="15.75" x14ac:dyDescent="0.25">
      <c r="D107" s="33" t="s">
        <v>40</v>
      </c>
    </row>
    <row r="108" spans="4:4" ht="15.75" x14ac:dyDescent="0.25">
      <c r="D108" s="33" t="s">
        <v>73</v>
      </c>
    </row>
    <row r="109" spans="4:4" ht="15.75" x14ac:dyDescent="0.25">
      <c r="D109" s="33" t="s">
        <v>94</v>
      </c>
    </row>
    <row r="110" spans="4:4" ht="15.75" x14ac:dyDescent="0.25">
      <c r="D110" s="33" t="s">
        <v>67</v>
      </c>
    </row>
    <row r="111" spans="4:4" ht="15.75" x14ac:dyDescent="0.25">
      <c r="D111" s="33" t="s">
        <v>199</v>
      </c>
    </row>
    <row r="112" spans="4:4" ht="15.75" x14ac:dyDescent="0.25">
      <c r="D112" s="33" t="s">
        <v>201</v>
      </c>
    </row>
    <row r="113" spans="4:4" ht="15.75" x14ac:dyDescent="0.25">
      <c r="D113" s="33" t="s">
        <v>203</v>
      </c>
    </row>
    <row r="114" spans="4:4" ht="15.75" x14ac:dyDescent="0.25">
      <c r="D114" s="33" t="s">
        <v>205</v>
      </c>
    </row>
    <row r="115" spans="4:4" ht="15.75" x14ac:dyDescent="0.25">
      <c r="D115" s="33" t="s">
        <v>207</v>
      </c>
    </row>
    <row r="116" spans="4:4" ht="15.75" x14ac:dyDescent="0.25">
      <c r="D116" s="33" t="s">
        <v>209</v>
      </c>
    </row>
    <row r="117" spans="4:4" ht="15.75" x14ac:dyDescent="0.25">
      <c r="D117" s="33" t="s">
        <v>211</v>
      </c>
    </row>
    <row r="118" spans="4:4" ht="15.75" x14ac:dyDescent="0.25">
      <c r="D118" s="33" t="s">
        <v>96</v>
      </c>
    </row>
    <row r="119" spans="4:4" ht="15.75" x14ac:dyDescent="0.25">
      <c r="D119" s="33" t="s">
        <v>213</v>
      </c>
    </row>
    <row r="120" spans="4:4" ht="15.75" x14ac:dyDescent="0.25">
      <c r="D120" s="33" t="s">
        <v>215</v>
      </c>
    </row>
    <row r="121" spans="4:4" ht="15.75" x14ac:dyDescent="0.25">
      <c r="D121" s="33" t="s">
        <v>57</v>
      </c>
    </row>
    <row r="122" spans="4:4" ht="15.75" x14ac:dyDescent="0.25">
      <c r="D122" s="33" t="s">
        <v>59</v>
      </c>
    </row>
    <row r="123" spans="4:4" ht="15.75" x14ac:dyDescent="0.25">
      <c r="D123" s="33" t="s">
        <v>61</v>
      </c>
    </row>
    <row r="124" spans="4:4" ht="15.75" x14ac:dyDescent="0.25">
      <c r="D124" s="33" t="s">
        <v>63</v>
      </c>
    </row>
    <row r="125" spans="4:4" ht="15.75" x14ac:dyDescent="0.25">
      <c r="D125" s="33" t="s">
        <v>65</v>
      </c>
    </row>
    <row r="126" spans="4:4" ht="15.75" x14ac:dyDescent="0.25">
      <c r="D126" s="33" t="s">
        <v>217</v>
      </c>
    </row>
    <row r="127" spans="4:4" ht="15.75" x14ac:dyDescent="0.25">
      <c r="D127" s="33" t="s">
        <v>219</v>
      </c>
    </row>
    <row r="128" spans="4:4" ht="15.75" x14ac:dyDescent="0.25">
      <c r="D128" s="33" t="s">
        <v>220</v>
      </c>
    </row>
    <row r="129" spans="4:4" ht="15.75" x14ac:dyDescent="0.25">
      <c r="D129" s="33" t="s">
        <v>99</v>
      </c>
    </row>
    <row r="130" spans="4:4" ht="15.75" x14ac:dyDescent="0.25">
      <c r="D130" s="33" t="s">
        <v>101</v>
      </c>
    </row>
    <row r="131" spans="4:4" ht="15.75" x14ac:dyDescent="0.25">
      <c r="D131" s="33" t="s">
        <v>222</v>
      </c>
    </row>
    <row r="132" spans="4:4" ht="15.75" x14ac:dyDescent="0.25">
      <c r="D132" s="33" t="s">
        <v>154</v>
      </c>
    </row>
    <row r="133" spans="4:4" ht="15.75" x14ac:dyDescent="0.25">
      <c r="D133" s="33" t="s">
        <v>156</v>
      </c>
    </row>
    <row r="134" spans="4:4" ht="15.75" x14ac:dyDescent="0.25">
      <c r="D134" s="33" t="s">
        <v>224</v>
      </c>
    </row>
    <row r="135" spans="4:4" ht="15.75" x14ac:dyDescent="0.25">
      <c r="D135" s="33" t="s">
        <v>226</v>
      </c>
    </row>
    <row r="136" spans="4:4" ht="15.75" x14ac:dyDescent="0.25">
      <c r="D136" s="33" t="s">
        <v>227</v>
      </c>
    </row>
    <row r="137" spans="4:4" ht="15.75" x14ac:dyDescent="0.25">
      <c r="D137" s="33" t="s">
        <v>228</v>
      </c>
    </row>
    <row r="138" spans="4:4" ht="15.75" x14ac:dyDescent="0.25">
      <c r="D138" s="33" t="s">
        <v>230</v>
      </c>
    </row>
    <row r="139" spans="4:4" ht="15.75" x14ac:dyDescent="0.25">
      <c r="D139" s="33" t="s">
        <v>232</v>
      </c>
    </row>
    <row r="140" spans="4:4" ht="15.75" x14ac:dyDescent="0.25">
      <c r="D140" s="33" t="s">
        <v>234</v>
      </c>
    </row>
    <row r="141" spans="4:4" ht="15.75" x14ac:dyDescent="0.25">
      <c r="D141" s="33" t="s">
        <v>236</v>
      </c>
    </row>
    <row r="142" spans="4:4" ht="15.75" x14ac:dyDescent="0.25">
      <c r="D142" s="33" t="s">
        <v>238</v>
      </c>
    </row>
    <row r="143" spans="4:4" ht="15.75" x14ac:dyDescent="0.25">
      <c r="D143" s="33" t="s">
        <v>240</v>
      </c>
    </row>
    <row r="144" spans="4:4" ht="15.75" x14ac:dyDescent="0.25">
      <c r="D144" s="33" t="s">
        <v>80</v>
      </c>
    </row>
    <row r="145" spans="4:4" ht="15.75" x14ac:dyDescent="0.25">
      <c r="D145" s="33" t="s">
        <v>266</v>
      </c>
    </row>
    <row r="146" spans="4:4" ht="15.75" x14ac:dyDescent="0.25">
      <c r="D146" s="33" t="s">
        <v>267</v>
      </c>
    </row>
    <row r="147" spans="4:4" ht="15.75" x14ac:dyDescent="0.25">
      <c r="D147" s="33" t="s">
        <v>268</v>
      </c>
    </row>
    <row r="148" spans="4:4" ht="15.75" x14ac:dyDescent="0.25">
      <c r="D148" s="33" t="s">
        <v>269</v>
      </c>
    </row>
    <row r="149" spans="4:4" ht="15.75" x14ac:dyDescent="0.25">
      <c r="D149" s="33" t="s">
        <v>112</v>
      </c>
    </row>
    <row r="150" spans="4:4" ht="15.75" x14ac:dyDescent="0.25">
      <c r="D150" s="33" t="s">
        <v>242</v>
      </c>
    </row>
    <row r="151" spans="4:4" ht="15.75" x14ac:dyDescent="0.25">
      <c r="D151" s="33" t="s">
        <v>244</v>
      </c>
    </row>
    <row r="152" spans="4:4" ht="15.75" x14ac:dyDescent="0.25">
      <c r="D152" s="33" t="s">
        <v>246</v>
      </c>
    </row>
    <row r="153" spans="4:4" ht="15.75" x14ac:dyDescent="0.25">
      <c r="D153" s="33" t="s">
        <v>54</v>
      </c>
    </row>
    <row r="154" spans="4:4" ht="15.75" x14ac:dyDescent="0.25">
      <c r="D154" s="33" t="s">
        <v>248</v>
      </c>
    </row>
    <row r="155" spans="4:4" ht="15.75" x14ac:dyDescent="0.25">
      <c r="D155" s="33" t="s">
        <v>249</v>
      </c>
    </row>
    <row r="156" spans="4:4" ht="15.75" x14ac:dyDescent="0.25">
      <c r="D156" s="33" t="s">
        <v>251</v>
      </c>
    </row>
    <row r="157" spans="4:4" ht="15.75" x14ac:dyDescent="0.25">
      <c r="D157" s="33" t="s">
        <v>253</v>
      </c>
    </row>
    <row r="158" spans="4:4" ht="15.75" x14ac:dyDescent="0.25">
      <c r="D158" s="33" t="s">
        <v>255</v>
      </c>
    </row>
    <row r="159" spans="4:4" ht="15.75" x14ac:dyDescent="0.25">
      <c r="D159" s="33" t="s">
        <v>57</v>
      </c>
    </row>
    <row r="160" spans="4:4" ht="15.75" x14ac:dyDescent="0.25">
      <c r="D160" s="33" t="s">
        <v>257</v>
      </c>
    </row>
    <row r="161" spans="4:4" ht="15.75" x14ac:dyDescent="0.25">
      <c r="D161" s="33" t="s">
        <v>259</v>
      </c>
    </row>
    <row r="162" spans="4:4" ht="15.75" x14ac:dyDescent="0.25">
      <c r="D162" s="33" t="s">
        <v>261</v>
      </c>
    </row>
    <row r="163" spans="4:4" ht="15.75" x14ac:dyDescent="0.25">
      <c r="D163" s="33" t="s">
        <v>263</v>
      </c>
    </row>
    <row r="164" spans="4:4" ht="15.75" x14ac:dyDescent="0.25">
      <c r="D164" s="33" t="s">
        <v>265</v>
      </c>
    </row>
    <row r="165" spans="4:4" ht="15.75" x14ac:dyDescent="0.25">
      <c r="D165" s="33" t="s">
        <v>272</v>
      </c>
    </row>
    <row r="166" spans="4:4" ht="15.75" x14ac:dyDescent="0.25">
      <c r="D166" s="33" t="s">
        <v>270</v>
      </c>
    </row>
    <row r="167" spans="4:4" ht="15.75" x14ac:dyDescent="0.25">
      <c r="D167" s="33" t="s">
        <v>271</v>
      </c>
    </row>
    <row r="168" spans="4:4" ht="15.75" x14ac:dyDescent="0.25">
      <c r="D168" s="33" t="s">
        <v>52</v>
      </c>
    </row>
    <row r="169" spans="4:4" ht="15.75" x14ac:dyDescent="0.25">
      <c r="D169" s="33" t="s">
        <v>275</v>
      </c>
    </row>
    <row r="170" spans="4:4" ht="15.75" x14ac:dyDescent="0.25">
      <c r="D170" s="33" t="s">
        <v>277</v>
      </c>
    </row>
    <row r="171" spans="4:4" ht="15.75" x14ac:dyDescent="0.25">
      <c r="D171" s="33" t="s">
        <v>279</v>
      </c>
    </row>
    <row r="172" spans="4:4" ht="15.75" x14ac:dyDescent="0.25">
      <c r="D172" s="33" t="s">
        <v>281</v>
      </c>
    </row>
    <row r="173" spans="4:4" ht="15.75" x14ac:dyDescent="0.25">
      <c r="D173" s="33" t="s">
        <v>283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8D98-A94A-4E49-AE0B-4580761D6B19}">
  <dimension ref="A2:P167"/>
  <sheetViews>
    <sheetView showGridLines="0" topLeftCell="B1" zoomScale="70" zoomScaleNormal="70" workbookViewId="0">
      <selection activeCell="I27" sqref="I27"/>
    </sheetView>
  </sheetViews>
  <sheetFormatPr defaultRowHeight="15" x14ac:dyDescent="0.25"/>
  <cols>
    <col min="1" max="1" width="17.7109375" bestFit="1" customWidth="1"/>
    <col min="2" max="2" width="45.5703125" bestFit="1" customWidth="1"/>
    <col min="3" max="3" width="10.42578125" style="16" bestFit="1" customWidth="1"/>
    <col min="4" max="4" width="14.28515625" style="16" bestFit="1" customWidth="1"/>
    <col min="5" max="5" width="14.28515625" style="16" customWidth="1"/>
    <col min="6" max="6" width="8.7109375" style="16" bestFit="1" customWidth="1"/>
    <col min="7" max="7" width="10.85546875" style="16" bestFit="1" customWidth="1"/>
    <col min="8" max="8" width="12.28515625" style="16" bestFit="1" customWidth="1"/>
    <col min="9" max="9" width="8.5703125" style="16" bestFit="1" customWidth="1"/>
    <col min="10" max="10" width="14.140625" style="16" bestFit="1" customWidth="1"/>
    <col min="11" max="11" width="14" style="16" bestFit="1" customWidth="1"/>
    <col min="12" max="12" width="14.140625" style="16" bestFit="1" customWidth="1"/>
    <col min="13" max="13" width="13.28515625" style="16" bestFit="1" customWidth="1"/>
    <col min="14" max="14" width="13.140625" style="16" bestFit="1" customWidth="1"/>
    <col min="15" max="318" width="45.7109375" bestFit="1" customWidth="1"/>
    <col min="319" max="319" width="30.7109375" bestFit="1" customWidth="1"/>
    <col min="320" max="320" width="33.85546875" bestFit="1" customWidth="1"/>
  </cols>
  <sheetData>
    <row r="2" spans="1:16" ht="15.75" thickBot="1" x14ac:dyDescent="0.3"/>
    <row r="3" spans="1:16" s="49" customFormat="1" ht="45.75" thickBot="1" x14ac:dyDescent="0.3">
      <c r="A3" s="51" t="s">
        <v>300</v>
      </c>
      <c r="B3" s="51" t="s">
        <v>331</v>
      </c>
      <c r="C3" s="52" t="s">
        <v>357</v>
      </c>
      <c r="D3" s="47" t="s">
        <v>356</v>
      </c>
      <c r="E3" s="47" t="s">
        <v>353</v>
      </c>
      <c r="F3" s="47" t="s">
        <v>354</v>
      </c>
      <c r="G3" s="47" t="s">
        <v>355</v>
      </c>
      <c r="H3" s="47" t="s">
        <v>358</v>
      </c>
      <c r="I3" s="47" t="s">
        <v>363</v>
      </c>
      <c r="J3" s="47" t="s">
        <v>361</v>
      </c>
      <c r="K3" s="47" t="s">
        <v>360</v>
      </c>
      <c r="L3" s="47" t="s">
        <v>364</v>
      </c>
      <c r="M3" s="47" t="s">
        <v>362</v>
      </c>
      <c r="N3" s="48" t="s">
        <v>359</v>
      </c>
    </row>
    <row r="4" spans="1:16" x14ac:dyDescent="0.25">
      <c r="A4" s="46" t="s">
        <v>50</v>
      </c>
      <c r="B4" s="46" t="s">
        <v>336</v>
      </c>
      <c r="C4" s="50">
        <v>5</v>
      </c>
      <c r="D4" s="50">
        <v>5</v>
      </c>
      <c r="E4" s="50">
        <v>2</v>
      </c>
      <c r="F4" s="50">
        <v>1</v>
      </c>
      <c r="G4" s="50">
        <v>1</v>
      </c>
      <c r="H4" s="50">
        <v>1</v>
      </c>
      <c r="I4" s="50">
        <v>4</v>
      </c>
      <c r="J4" s="50">
        <v>1</v>
      </c>
      <c r="K4" s="50">
        <v>1</v>
      </c>
      <c r="L4" s="50">
        <v>1</v>
      </c>
      <c r="M4" s="50">
        <v>1</v>
      </c>
      <c r="N4" s="50">
        <v>1</v>
      </c>
    </row>
    <row r="5" spans="1:16" x14ac:dyDescent="0.25">
      <c r="A5" s="46"/>
      <c r="B5" s="46" t="s">
        <v>332</v>
      </c>
      <c r="C5" s="50">
        <v>5</v>
      </c>
      <c r="D5" s="50">
        <v>5</v>
      </c>
      <c r="E5" s="50">
        <v>4</v>
      </c>
      <c r="F5" s="50">
        <v>4</v>
      </c>
      <c r="G5" s="50">
        <v>4</v>
      </c>
      <c r="H5" s="50">
        <v>2</v>
      </c>
      <c r="I5" s="50">
        <v>5</v>
      </c>
      <c r="J5" s="50">
        <v>1</v>
      </c>
      <c r="K5" s="50">
        <v>1</v>
      </c>
      <c r="L5" s="50">
        <v>1</v>
      </c>
      <c r="M5" s="50">
        <v>1</v>
      </c>
      <c r="N5" s="50">
        <v>1</v>
      </c>
    </row>
    <row r="6" spans="1:16" x14ac:dyDescent="0.25">
      <c r="A6" s="46"/>
      <c r="B6" s="46" t="s">
        <v>333</v>
      </c>
      <c r="C6" s="50">
        <v>5</v>
      </c>
      <c r="D6" s="50">
        <v>5</v>
      </c>
      <c r="E6" s="50">
        <v>4</v>
      </c>
      <c r="F6" s="50">
        <v>4</v>
      </c>
      <c r="G6" s="50">
        <v>4</v>
      </c>
      <c r="H6" s="50">
        <v>2</v>
      </c>
      <c r="I6" s="50">
        <v>5</v>
      </c>
      <c r="J6" s="50">
        <v>1</v>
      </c>
      <c r="K6" s="50">
        <v>1</v>
      </c>
      <c r="L6" s="50">
        <v>1</v>
      </c>
      <c r="M6" s="50">
        <v>1</v>
      </c>
      <c r="N6" s="50">
        <v>1</v>
      </c>
    </row>
    <row r="7" spans="1:16" x14ac:dyDescent="0.25">
      <c r="A7" s="46"/>
      <c r="B7" s="46" t="s">
        <v>334</v>
      </c>
      <c r="C7" s="50">
        <v>5</v>
      </c>
      <c r="D7" s="50">
        <v>5</v>
      </c>
      <c r="E7" s="50">
        <v>3</v>
      </c>
      <c r="F7" s="50">
        <v>2</v>
      </c>
      <c r="G7" s="50">
        <v>4</v>
      </c>
      <c r="H7" s="50">
        <v>2</v>
      </c>
      <c r="I7" s="50">
        <v>5</v>
      </c>
      <c r="J7" s="50">
        <v>1</v>
      </c>
      <c r="K7" s="50">
        <v>1</v>
      </c>
      <c r="L7" s="50">
        <v>1</v>
      </c>
      <c r="M7" s="50">
        <v>1</v>
      </c>
      <c r="N7" s="50">
        <v>1</v>
      </c>
    </row>
    <row r="8" spans="1:16" x14ac:dyDescent="0.25">
      <c r="A8" s="46"/>
      <c r="B8" s="46" t="s">
        <v>335</v>
      </c>
      <c r="C8" s="50">
        <v>5</v>
      </c>
      <c r="D8" s="50">
        <v>5</v>
      </c>
      <c r="E8" s="50">
        <v>3</v>
      </c>
      <c r="F8" s="50">
        <v>2</v>
      </c>
      <c r="G8" s="50">
        <v>4</v>
      </c>
      <c r="H8" s="50">
        <v>2</v>
      </c>
      <c r="I8" s="50">
        <v>5</v>
      </c>
      <c r="J8" s="50">
        <v>1</v>
      </c>
      <c r="K8" s="50">
        <v>1</v>
      </c>
      <c r="L8" s="50">
        <v>1</v>
      </c>
      <c r="M8" s="50">
        <v>1</v>
      </c>
      <c r="N8" s="50">
        <v>1</v>
      </c>
    </row>
    <row r="9" spans="1:16" x14ac:dyDescent="0.25">
      <c r="A9" s="46"/>
      <c r="B9" s="46" t="s">
        <v>339</v>
      </c>
      <c r="C9" s="50">
        <v>4</v>
      </c>
      <c r="D9" s="50">
        <v>5</v>
      </c>
      <c r="E9" s="50">
        <v>3</v>
      </c>
      <c r="F9" s="50">
        <v>1</v>
      </c>
      <c r="G9" s="50">
        <v>3</v>
      </c>
      <c r="H9" s="50">
        <v>3</v>
      </c>
      <c r="I9" s="50">
        <v>5</v>
      </c>
      <c r="J9" s="50">
        <v>1</v>
      </c>
      <c r="K9" s="50">
        <v>1</v>
      </c>
      <c r="L9" s="50">
        <v>1</v>
      </c>
      <c r="M9" s="50">
        <v>1</v>
      </c>
      <c r="N9" s="50">
        <v>1</v>
      </c>
    </row>
    <row r="10" spans="1:16" x14ac:dyDescent="0.25">
      <c r="A10" s="46"/>
      <c r="B10" s="46" t="s">
        <v>340</v>
      </c>
      <c r="C10" s="50">
        <v>5</v>
      </c>
      <c r="D10" s="50">
        <v>5</v>
      </c>
      <c r="E10" s="50">
        <v>5</v>
      </c>
      <c r="F10" s="50">
        <v>3</v>
      </c>
      <c r="G10" s="50">
        <v>3</v>
      </c>
      <c r="H10" s="50">
        <v>5</v>
      </c>
      <c r="I10" s="50">
        <v>5</v>
      </c>
      <c r="J10" s="50">
        <v>1</v>
      </c>
      <c r="K10" s="50">
        <v>1</v>
      </c>
      <c r="L10" s="50">
        <v>1</v>
      </c>
      <c r="M10" s="50">
        <v>3</v>
      </c>
      <c r="N10" s="50">
        <v>3</v>
      </c>
    </row>
    <row r="11" spans="1:16" x14ac:dyDescent="0.25">
      <c r="A11" s="46"/>
      <c r="B11" s="46" t="s">
        <v>338</v>
      </c>
      <c r="C11" s="50">
        <v>3</v>
      </c>
      <c r="D11" s="50">
        <v>3</v>
      </c>
      <c r="E11" s="50">
        <v>3</v>
      </c>
      <c r="F11" s="50">
        <v>3</v>
      </c>
      <c r="G11" s="50">
        <v>3</v>
      </c>
      <c r="H11" s="50">
        <v>3</v>
      </c>
      <c r="I11" s="50">
        <v>3</v>
      </c>
      <c r="J11" s="50">
        <v>5</v>
      </c>
      <c r="K11" s="50">
        <v>5</v>
      </c>
      <c r="L11" s="50">
        <v>5</v>
      </c>
      <c r="M11" s="50">
        <v>3</v>
      </c>
      <c r="N11" s="50">
        <v>3</v>
      </c>
      <c r="P11" t="e" cm="1">
        <f t="array" ref="P11">yatay</f>
        <v>#NAME?</v>
      </c>
    </row>
    <row r="12" spans="1:16" x14ac:dyDescent="0.25">
      <c r="A12" s="46"/>
      <c r="B12" s="46" t="s">
        <v>337</v>
      </c>
      <c r="C12" s="50">
        <v>5</v>
      </c>
      <c r="D12" s="50">
        <v>5</v>
      </c>
      <c r="E12" s="50">
        <v>4</v>
      </c>
      <c r="F12" s="50">
        <v>4</v>
      </c>
      <c r="G12" s="50">
        <v>4</v>
      </c>
      <c r="H12" s="50">
        <v>4</v>
      </c>
      <c r="I12" s="50">
        <v>5</v>
      </c>
      <c r="J12" s="50">
        <v>1</v>
      </c>
      <c r="K12" s="50">
        <v>1</v>
      </c>
      <c r="L12" s="50">
        <v>1</v>
      </c>
      <c r="M12" s="50">
        <v>1</v>
      </c>
      <c r="N12" s="50">
        <v>1</v>
      </c>
    </row>
    <row r="13" spans="1:16" x14ac:dyDescent="0.25">
      <c r="A13" s="46" t="s">
        <v>49</v>
      </c>
      <c r="B13" s="46" t="s">
        <v>345</v>
      </c>
      <c r="C13" s="50">
        <v>5</v>
      </c>
      <c r="D13" s="50">
        <v>5</v>
      </c>
      <c r="E13" s="50">
        <v>2</v>
      </c>
      <c r="F13" s="50">
        <v>1</v>
      </c>
      <c r="G13" s="50">
        <v>1</v>
      </c>
      <c r="H13" s="50">
        <v>2</v>
      </c>
      <c r="I13" s="50">
        <v>4</v>
      </c>
      <c r="J13" s="50">
        <v>1</v>
      </c>
      <c r="K13" s="50">
        <v>1</v>
      </c>
      <c r="L13" s="50">
        <v>1</v>
      </c>
      <c r="M13" s="50">
        <v>1</v>
      </c>
      <c r="N13" s="50">
        <v>1</v>
      </c>
    </row>
    <row r="14" spans="1:16" x14ac:dyDescent="0.25">
      <c r="A14" s="46"/>
      <c r="B14" s="46" t="s">
        <v>341</v>
      </c>
      <c r="C14" s="50">
        <v>5</v>
      </c>
      <c r="D14" s="50">
        <v>5</v>
      </c>
      <c r="E14" s="50">
        <v>4</v>
      </c>
      <c r="F14" s="50">
        <v>4</v>
      </c>
      <c r="G14" s="50">
        <v>5</v>
      </c>
      <c r="H14" s="50">
        <v>2</v>
      </c>
      <c r="I14" s="50">
        <v>5</v>
      </c>
      <c r="J14" s="50">
        <v>1</v>
      </c>
      <c r="K14" s="50">
        <v>1</v>
      </c>
      <c r="L14" s="50">
        <v>1</v>
      </c>
      <c r="M14" s="50">
        <v>1</v>
      </c>
      <c r="N14" s="50">
        <v>1</v>
      </c>
    </row>
    <row r="15" spans="1:16" x14ac:dyDescent="0.25">
      <c r="A15" s="46"/>
      <c r="B15" s="46" t="s">
        <v>342</v>
      </c>
      <c r="C15" s="50">
        <v>5</v>
      </c>
      <c r="D15" s="50">
        <v>5</v>
      </c>
      <c r="E15" s="50">
        <v>4</v>
      </c>
      <c r="F15" s="50">
        <v>4</v>
      </c>
      <c r="G15" s="50">
        <v>5</v>
      </c>
      <c r="H15" s="50">
        <v>2</v>
      </c>
      <c r="I15" s="50">
        <v>5</v>
      </c>
      <c r="J15" s="50">
        <v>1</v>
      </c>
      <c r="K15" s="50">
        <v>1</v>
      </c>
      <c r="L15" s="50">
        <v>1</v>
      </c>
      <c r="M15" s="50">
        <v>1</v>
      </c>
      <c r="N15" s="50">
        <v>1</v>
      </c>
    </row>
    <row r="16" spans="1:16" x14ac:dyDescent="0.25">
      <c r="A16" s="46"/>
      <c r="B16" s="46" t="s">
        <v>343</v>
      </c>
      <c r="C16" s="50">
        <v>5</v>
      </c>
      <c r="D16" s="50">
        <v>5</v>
      </c>
      <c r="E16" s="50">
        <v>3</v>
      </c>
      <c r="F16" s="50">
        <v>2</v>
      </c>
      <c r="G16" s="50">
        <v>5</v>
      </c>
      <c r="H16" s="50">
        <v>2</v>
      </c>
      <c r="I16" s="50">
        <v>5</v>
      </c>
      <c r="J16" s="50">
        <v>1</v>
      </c>
      <c r="K16" s="50">
        <v>1</v>
      </c>
      <c r="L16" s="50">
        <v>1</v>
      </c>
      <c r="M16" s="50">
        <v>1</v>
      </c>
      <c r="N16" s="50">
        <v>1</v>
      </c>
    </row>
    <row r="17" spans="1:14" x14ac:dyDescent="0.25">
      <c r="A17" s="46"/>
      <c r="B17" s="46" t="s">
        <v>344</v>
      </c>
      <c r="C17" s="50">
        <v>5</v>
      </c>
      <c r="D17" s="50">
        <v>5</v>
      </c>
      <c r="E17" s="50">
        <v>3</v>
      </c>
      <c r="F17" s="50">
        <v>2</v>
      </c>
      <c r="G17" s="50">
        <v>5</v>
      </c>
      <c r="H17" s="50">
        <v>2</v>
      </c>
      <c r="I17" s="50">
        <v>5</v>
      </c>
      <c r="J17" s="50">
        <v>1</v>
      </c>
      <c r="K17" s="50">
        <v>1</v>
      </c>
      <c r="L17" s="50">
        <v>1</v>
      </c>
      <c r="M17" s="50">
        <v>1</v>
      </c>
      <c r="N17" s="50">
        <v>1</v>
      </c>
    </row>
    <row r="18" spans="1:14" x14ac:dyDescent="0.25">
      <c r="A18" s="46"/>
      <c r="B18" s="46" t="s">
        <v>348</v>
      </c>
      <c r="C18" s="50">
        <v>4</v>
      </c>
      <c r="D18" s="50">
        <v>5</v>
      </c>
      <c r="E18" s="50">
        <v>3</v>
      </c>
      <c r="F18" s="50">
        <v>1</v>
      </c>
      <c r="G18" s="50">
        <v>3</v>
      </c>
      <c r="H18" s="50">
        <v>3</v>
      </c>
      <c r="I18" s="50">
        <v>5</v>
      </c>
      <c r="J18" s="50">
        <v>1</v>
      </c>
      <c r="K18" s="50">
        <v>1</v>
      </c>
      <c r="L18" s="50">
        <v>1</v>
      </c>
      <c r="M18" s="50">
        <v>1</v>
      </c>
      <c r="N18" s="50">
        <v>1</v>
      </c>
    </row>
    <row r="19" spans="1:14" x14ac:dyDescent="0.25">
      <c r="A19" s="46"/>
      <c r="B19" s="46" t="s">
        <v>349</v>
      </c>
      <c r="C19" s="50">
        <v>5</v>
      </c>
      <c r="D19" s="50">
        <v>5</v>
      </c>
      <c r="E19" s="50">
        <v>5</v>
      </c>
      <c r="F19" s="50">
        <v>3</v>
      </c>
      <c r="G19" s="50">
        <v>3</v>
      </c>
      <c r="H19" s="50">
        <v>5</v>
      </c>
      <c r="I19" s="50">
        <v>5</v>
      </c>
      <c r="J19" s="50">
        <v>1</v>
      </c>
      <c r="K19" s="50">
        <v>1</v>
      </c>
      <c r="L19" s="50">
        <v>1</v>
      </c>
      <c r="M19" s="50">
        <v>3</v>
      </c>
      <c r="N19" s="50">
        <v>3</v>
      </c>
    </row>
    <row r="20" spans="1:14" x14ac:dyDescent="0.25">
      <c r="A20" s="46"/>
      <c r="B20" s="46" t="s">
        <v>347</v>
      </c>
      <c r="C20" s="50">
        <v>3</v>
      </c>
      <c r="D20" s="50">
        <v>3</v>
      </c>
      <c r="E20" s="50">
        <v>3</v>
      </c>
      <c r="F20" s="50">
        <v>3</v>
      </c>
      <c r="G20" s="50">
        <v>3</v>
      </c>
      <c r="H20" s="50">
        <v>3</v>
      </c>
      <c r="I20" s="50">
        <v>3</v>
      </c>
      <c r="J20" s="50">
        <v>5</v>
      </c>
      <c r="K20" s="50">
        <v>5</v>
      </c>
      <c r="L20" s="50">
        <v>5</v>
      </c>
      <c r="M20" s="50">
        <v>3</v>
      </c>
      <c r="N20" s="50">
        <v>3</v>
      </c>
    </row>
    <row r="21" spans="1:14" x14ac:dyDescent="0.25">
      <c r="A21" s="46"/>
      <c r="B21" s="46" t="s">
        <v>346</v>
      </c>
      <c r="C21" s="50">
        <v>5</v>
      </c>
      <c r="D21" s="50">
        <v>5</v>
      </c>
      <c r="E21" s="50">
        <v>4</v>
      </c>
      <c r="F21" s="50">
        <v>4</v>
      </c>
      <c r="G21" s="50">
        <v>4</v>
      </c>
      <c r="H21" s="50">
        <v>4</v>
      </c>
      <c r="I21" s="50">
        <v>5</v>
      </c>
      <c r="J21" s="50">
        <v>1</v>
      </c>
      <c r="K21" s="50">
        <v>1</v>
      </c>
      <c r="L21" s="50">
        <v>1</v>
      </c>
      <c r="M21" s="50">
        <v>1</v>
      </c>
      <c r="N21" s="50">
        <v>1</v>
      </c>
    </row>
    <row r="22" spans="1:14" x14ac:dyDescent="0.25">
      <c r="A22" s="46" t="s">
        <v>48</v>
      </c>
      <c r="B22" s="46" t="s">
        <v>268</v>
      </c>
      <c r="C22" s="50">
        <v>1</v>
      </c>
      <c r="D22" s="50">
        <v>1</v>
      </c>
      <c r="E22" s="50">
        <v>1</v>
      </c>
      <c r="F22" s="50">
        <v>1</v>
      </c>
      <c r="G22" s="50">
        <v>1</v>
      </c>
      <c r="H22" s="50">
        <v>1</v>
      </c>
      <c r="I22" s="50">
        <v>5</v>
      </c>
      <c r="J22" s="50">
        <v>1</v>
      </c>
      <c r="K22" s="50">
        <v>1</v>
      </c>
      <c r="L22" s="50">
        <v>2</v>
      </c>
      <c r="M22" s="50">
        <v>1</v>
      </c>
      <c r="N22" s="50">
        <v>1</v>
      </c>
    </row>
    <row r="23" spans="1:14" x14ac:dyDescent="0.25">
      <c r="A23" s="46"/>
      <c r="B23" s="46" t="s">
        <v>266</v>
      </c>
      <c r="C23" s="50">
        <v>1</v>
      </c>
      <c r="D23" s="50">
        <v>1</v>
      </c>
      <c r="E23" s="50">
        <v>1</v>
      </c>
      <c r="F23" s="50">
        <v>1</v>
      </c>
      <c r="G23" s="50">
        <v>1</v>
      </c>
      <c r="H23" s="50">
        <v>1</v>
      </c>
      <c r="I23" s="50">
        <v>5</v>
      </c>
      <c r="J23" s="50">
        <v>1</v>
      </c>
      <c r="K23" s="50">
        <v>1</v>
      </c>
      <c r="L23" s="50">
        <v>2</v>
      </c>
      <c r="M23" s="50">
        <v>1</v>
      </c>
      <c r="N23" s="50">
        <v>1</v>
      </c>
    </row>
    <row r="24" spans="1:14" x14ac:dyDescent="0.25">
      <c r="A24" s="46"/>
      <c r="B24" s="46" t="s">
        <v>269</v>
      </c>
      <c r="C24" s="50">
        <v>5</v>
      </c>
      <c r="D24" s="50">
        <v>5</v>
      </c>
      <c r="E24" s="50">
        <v>5</v>
      </c>
      <c r="F24" s="50">
        <v>3</v>
      </c>
      <c r="G24" s="50">
        <v>3</v>
      </c>
      <c r="H24" s="50">
        <v>5</v>
      </c>
      <c r="I24" s="50">
        <v>5</v>
      </c>
      <c r="J24" s="50">
        <v>1</v>
      </c>
      <c r="K24" s="50">
        <v>1</v>
      </c>
      <c r="L24" s="50">
        <v>1</v>
      </c>
      <c r="M24" s="50">
        <v>3</v>
      </c>
      <c r="N24" s="50">
        <v>3</v>
      </c>
    </row>
    <row r="25" spans="1:14" x14ac:dyDescent="0.25">
      <c r="A25" s="46"/>
      <c r="B25" s="46" t="s">
        <v>267</v>
      </c>
      <c r="C25" s="50">
        <v>2</v>
      </c>
      <c r="D25" s="50">
        <v>2</v>
      </c>
      <c r="E25" s="50">
        <v>2</v>
      </c>
      <c r="F25" s="50">
        <v>2</v>
      </c>
      <c r="G25" s="50">
        <v>2</v>
      </c>
      <c r="H25" s="50">
        <v>2</v>
      </c>
      <c r="I25" s="50">
        <v>5</v>
      </c>
      <c r="J25" s="50">
        <v>3</v>
      </c>
      <c r="K25" s="50">
        <v>4</v>
      </c>
      <c r="L25" s="50">
        <v>4</v>
      </c>
      <c r="M25" s="50">
        <v>3</v>
      </c>
      <c r="N25" s="50">
        <v>3</v>
      </c>
    </row>
    <row r="26" spans="1:14" x14ac:dyDescent="0.25">
      <c r="A26" s="46" t="s">
        <v>273</v>
      </c>
      <c r="B26" s="46" t="s">
        <v>272</v>
      </c>
      <c r="C26" s="50">
        <v>2</v>
      </c>
      <c r="D26" s="50">
        <v>3</v>
      </c>
      <c r="E26" s="50">
        <v>3</v>
      </c>
      <c r="F26" s="50">
        <v>3</v>
      </c>
      <c r="G26" s="50">
        <v>3</v>
      </c>
      <c r="H26" s="50">
        <v>3</v>
      </c>
      <c r="I26" s="50">
        <v>5</v>
      </c>
      <c r="J26" s="50">
        <v>3</v>
      </c>
      <c r="K26" s="50">
        <v>3</v>
      </c>
      <c r="L26" s="50">
        <v>2</v>
      </c>
      <c r="M26" s="50">
        <v>4</v>
      </c>
      <c r="N26" s="50">
        <v>3</v>
      </c>
    </row>
    <row r="27" spans="1:14" x14ac:dyDescent="0.25">
      <c r="A27" s="46"/>
      <c r="B27" s="46" t="s">
        <v>271</v>
      </c>
      <c r="C27" s="50">
        <v>2</v>
      </c>
      <c r="D27" s="50">
        <v>3</v>
      </c>
      <c r="E27" s="50">
        <v>3</v>
      </c>
      <c r="F27" s="50">
        <v>3</v>
      </c>
      <c r="G27" s="50">
        <v>3</v>
      </c>
      <c r="H27" s="50">
        <v>5</v>
      </c>
      <c r="I27" s="50">
        <v>5</v>
      </c>
      <c r="J27" s="50">
        <v>4</v>
      </c>
      <c r="K27" s="50">
        <v>4</v>
      </c>
      <c r="L27" s="50">
        <v>4</v>
      </c>
      <c r="M27" s="50">
        <v>4</v>
      </c>
      <c r="N27" s="50">
        <v>3</v>
      </c>
    </row>
    <row r="28" spans="1:14" x14ac:dyDescent="0.25">
      <c r="A28" s="46"/>
      <c r="B28" s="46" t="s">
        <v>270</v>
      </c>
      <c r="C28" s="50">
        <v>3</v>
      </c>
      <c r="D28" s="50">
        <v>3</v>
      </c>
      <c r="E28" s="50">
        <v>3</v>
      </c>
      <c r="F28" s="50">
        <v>3</v>
      </c>
      <c r="G28" s="50">
        <v>3</v>
      </c>
      <c r="H28" s="50">
        <v>3</v>
      </c>
      <c r="I28" s="50">
        <v>5</v>
      </c>
      <c r="J28" s="50">
        <v>4</v>
      </c>
      <c r="K28" s="50">
        <v>4</v>
      </c>
      <c r="L28" s="50">
        <v>4</v>
      </c>
      <c r="M28" s="50">
        <v>4</v>
      </c>
      <c r="N28" s="50">
        <v>3</v>
      </c>
    </row>
    <row r="29" spans="1:14" x14ac:dyDescent="0.25">
      <c r="A29" s="46" t="s">
        <v>276</v>
      </c>
      <c r="B29" s="46" t="s">
        <v>277</v>
      </c>
      <c r="C29" s="50">
        <v>2</v>
      </c>
      <c r="D29" s="50">
        <v>2</v>
      </c>
      <c r="E29" s="50">
        <v>2</v>
      </c>
      <c r="F29" s="50">
        <v>2</v>
      </c>
      <c r="G29" s="50">
        <v>2</v>
      </c>
      <c r="H29" s="50">
        <v>4</v>
      </c>
      <c r="I29" s="50">
        <v>5</v>
      </c>
      <c r="J29" s="50">
        <v>3</v>
      </c>
      <c r="K29" s="50">
        <v>3</v>
      </c>
      <c r="L29" s="50">
        <v>3</v>
      </c>
      <c r="M29" s="50">
        <v>4</v>
      </c>
      <c r="N29" s="50">
        <v>3</v>
      </c>
    </row>
    <row r="30" spans="1:14" x14ac:dyDescent="0.25">
      <c r="A30" s="46" t="s">
        <v>278</v>
      </c>
      <c r="B30" s="46" t="s">
        <v>279</v>
      </c>
      <c r="C30" s="50">
        <v>2</v>
      </c>
      <c r="D30" s="50">
        <v>2</v>
      </c>
      <c r="E30" s="50">
        <v>2</v>
      </c>
      <c r="F30" s="50">
        <v>2</v>
      </c>
      <c r="G30" s="50">
        <v>2</v>
      </c>
      <c r="H30" s="50">
        <v>4</v>
      </c>
      <c r="I30" s="50">
        <v>5</v>
      </c>
      <c r="J30" s="50">
        <v>3</v>
      </c>
      <c r="K30" s="50">
        <v>3</v>
      </c>
      <c r="L30" s="50">
        <v>3</v>
      </c>
      <c r="M30" s="50">
        <v>4</v>
      </c>
      <c r="N30" s="50">
        <v>3</v>
      </c>
    </row>
    <row r="31" spans="1:14" x14ac:dyDescent="0.25">
      <c r="A31" s="46" t="s">
        <v>51</v>
      </c>
      <c r="B31" s="46" t="s">
        <v>52</v>
      </c>
      <c r="C31" s="50">
        <v>2</v>
      </c>
      <c r="D31" s="50">
        <v>2</v>
      </c>
      <c r="E31" s="50">
        <v>2</v>
      </c>
      <c r="F31" s="50">
        <v>2</v>
      </c>
      <c r="G31" s="50">
        <v>2</v>
      </c>
      <c r="H31" s="50">
        <v>5</v>
      </c>
      <c r="I31" s="50">
        <v>5</v>
      </c>
      <c r="J31" s="50">
        <v>4</v>
      </c>
      <c r="K31" s="50">
        <v>3</v>
      </c>
      <c r="L31" s="50">
        <v>3</v>
      </c>
      <c r="M31" s="50">
        <v>4</v>
      </c>
      <c r="N31" s="50">
        <v>3</v>
      </c>
    </row>
    <row r="32" spans="1:14" x14ac:dyDescent="0.25">
      <c r="A32" s="46" t="s">
        <v>280</v>
      </c>
      <c r="B32" s="46" t="s">
        <v>281</v>
      </c>
      <c r="C32" s="50">
        <v>2</v>
      </c>
      <c r="D32" s="50">
        <v>2</v>
      </c>
      <c r="E32" s="50">
        <v>2</v>
      </c>
      <c r="F32" s="50">
        <v>2</v>
      </c>
      <c r="G32" s="50">
        <v>2</v>
      </c>
      <c r="H32" s="50">
        <v>4</v>
      </c>
      <c r="I32" s="50">
        <v>5</v>
      </c>
      <c r="J32" s="50">
        <v>3</v>
      </c>
      <c r="K32" s="50">
        <v>3</v>
      </c>
      <c r="L32" s="50">
        <v>3</v>
      </c>
      <c r="M32" s="50">
        <v>4</v>
      </c>
      <c r="N32" s="50">
        <v>3</v>
      </c>
    </row>
    <row r="33" spans="1:14" x14ac:dyDescent="0.25">
      <c r="A33" s="46" t="s">
        <v>282</v>
      </c>
      <c r="B33" s="46" t="s">
        <v>283</v>
      </c>
      <c r="C33" s="50">
        <v>2</v>
      </c>
      <c r="D33" s="50">
        <v>2</v>
      </c>
      <c r="E33" s="50">
        <v>2</v>
      </c>
      <c r="F33" s="50">
        <v>2</v>
      </c>
      <c r="G33" s="50">
        <v>2</v>
      </c>
      <c r="H33" s="50">
        <v>4</v>
      </c>
      <c r="I33" s="50">
        <v>5</v>
      </c>
      <c r="J33" s="50">
        <v>3</v>
      </c>
      <c r="K33" s="50">
        <v>3</v>
      </c>
      <c r="L33" s="50">
        <v>3</v>
      </c>
      <c r="M33" s="50">
        <v>4</v>
      </c>
      <c r="N33" s="50">
        <v>3</v>
      </c>
    </row>
    <row r="34" spans="1:14" x14ac:dyDescent="0.25">
      <c r="A34" s="46" t="s">
        <v>241</v>
      </c>
      <c r="B34" s="46" t="s">
        <v>242</v>
      </c>
      <c r="C34" s="50">
        <v>2</v>
      </c>
      <c r="D34" s="50">
        <v>2</v>
      </c>
      <c r="E34" s="50">
        <v>2</v>
      </c>
      <c r="F34" s="50">
        <v>2</v>
      </c>
      <c r="G34" s="50">
        <v>2</v>
      </c>
      <c r="H34" s="50">
        <v>5</v>
      </c>
      <c r="I34" s="50">
        <v>5</v>
      </c>
      <c r="J34" s="50">
        <v>3</v>
      </c>
      <c r="K34" s="50">
        <v>3</v>
      </c>
      <c r="L34" s="50">
        <v>3</v>
      </c>
      <c r="M34" s="50">
        <v>3</v>
      </c>
      <c r="N34" s="50">
        <v>3</v>
      </c>
    </row>
    <row r="35" spans="1:14" x14ac:dyDescent="0.25">
      <c r="A35" s="46" t="s">
        <v>243</v>
      </c>
      <c r="B35" s="46" t="s">
        <v>244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5</v>
      </c>
      <c r="I35" s="50">
        <v>5</v>
      </c>
      <c r="J35" s="50">
        <v>3</v>
      </c>
      <c r="K35" s="50">
        <v>3</v>
      </c>
      <c r="L35" s="50">
        <v>3</v>
      </c>
      <c r="M35" s="50">
        <v>3</v>
      </c>
      <c r="N35" s="50">
        <v>3</v>
      </c>
    </row>
    <row r="36" spans="1:14" x14ac:dyDescent="0.25">
      <c r="A36" s="46" t="s">
        <v>245</v>
      </c>
      <c r="B36" s="46" t="s">
        <v>246</v>
      </c>
      <c r="C36" s="50">
        <v>2</v>
      </c>
      <c r="D36" s="50">
        <v>2</v>
      </c>
      <c r="E36" s="50">
        <v>2</v>
      </c>
      <c r="F36" s="50">
        <v>2</v>
      </c>
      <c r="G36" s="50">
        <v>2</v>
      </c>
      <c r="H36" s="50">
        <v>5</v>
      </c>
      <c r="I36" s="50">
        <v>5</v>
      </c>
      <c r="J36" s="50">
        <v>3</v>
      </c>
      <c r="K36" s="50">
        <v>3</v>
      </c>
      <c r="L36" s="50">
        <v>3</v>
      </c>
      <c r="M36" s="50">
        <v>3</v>
      </c>
      <c r="N36" s="50">
        <v>3</v>
      </c>
    </row>
    <row r="37" spans="1:14" x14ac:dyDescent="0.25">
      <c r="A37" s="46" t="s">
        <v>53</v>
      </c>
      <c r="B37" s="46" t="s">
        <v>54</v>
      </c>
      <c r="C37" s="50">
        <v>2</v>
      </c>
      <c r="D37" s="50">
        <v>2</v>
      </c>
      <c r="E37" s="50">
        <v>2</v>
      </c>
      <c r="F37" s="50">
        <v>2</v>
      </c>
      <c r="G37" s="50">
        <v>2</v>
      </c>
      <c r="H37" s="50">
        <v>5</v>
      </c>
      <c r="I37" s="50">
        <v>5</v>
      </c>
      <c r="J37" s="50">
        <v>3</v>
      </c>
      <c r="K37" s="50">
        <v>3</v>
      </c>
      <c r="L37" s="50">
        <v>3</v>
      </c>
      <c r="M37" s="50">
        <v>4</v>
      </c>
      <c r="N37" s="50">
        <v>4</v>
      </c>
    </row>
    <row r="38" spans="1:14" x14ac:dyDescent="0.25">
      <c r="A38" s="46" t="s">
        <v>247</v>
      </c>
      <c r="B38" s="46" t="s">
        <v>248</v>
      </c>
      <c r="C38" s="50">
        <v>2</v>
      </c>
      <c r="D38" s="50">
        <v>2</v>
      </c>
      <c r="E38" s="50">
        <v>2</v>
      </c>
      <c r="F38" s="50">
        <v>2</v>
      </c>
      <c r="G38" s="50">
        <v>2</v>
      </c>
      <c r="H38" s="50">
        <v>5</v>
      </c>
      <c r="I38" s="50">
        <v>5</v>
      </c>
      <c r="J38" s="50">
        <v>3</v>
      </c>
      <c r="K38" s="50">
        <v>3</v>
      </c>
      <c r="L38" s="50">
        <v>3</v>
      </c>
      <c r="M38" s="50">
        <v>3</v>
      </c>
      <c r="N38" s="50">
        <v>3</v>
      </c>
    </row>
    <row r="39" spans="1:14" x14ac:dyDescent="0.25">
      <c r="A39" s="46" t="s">
        <v>55</v>
      </c>
      <c r="B39" s="46" t="s">
        <v>249</v>
      </c>
      <c r="C39" s="50">
        <v>2</v>
      </c>
      <c r="D39" s="50">
        <v>2</v>
      </c>
      <c r="E39" s="50">
        <v>1</v>
      </c>
      <c r="F39" s="50">
        <v>1</v>
      </c>
      <c r="G39" s="50">
        <v>1</v>
      </c>
      <c r="H39" s="50">
        <v>5</v>
      </c>
      <c r="I39" s="50">
        <v>5</v>
      </c>
      <c r="J39" s="50">
        <v>3</v>
      </c>
      <c r="K39" s="50">
        <v>3</v>
      </c>
      <c r="L39" s="50">
        <v>3</v>
      </c>
      <c r="M39" s="50">
        <v>4</v>
      </c>
      <c r="N39" s="50">
        <v>4</v>
      </c>
    </row>
    <row r="40" spans="1:14" x14ac:dyDescent="0.25">
      <c r="A40" s="46" t="s">
        <v>250</v>
      </c>
      <c r="B40" s="46" t="s">
        <v>251</v>
      </c>
      <c r="C40" s="50">
        <v>2</v>
      </c>
      <c r="D40" s="50">
        <v>2</v>
      </c>
      <c r="E40" s="50">
        <v>2</v>
      </c>
      <c r="F40" s="50">
        <v>2</v>
      </c>
      <c r="G40" s="50">
        <v>2</v>
      </c>
      <c r="H40" s="50">
        <v>5</v>
      </c>
      <c r="I40" s="50">
        <v>5</v>
      </c>
      <c r="J40" s="50">
        <v>4</v>
      </c>
      <c r="K40" s="50">
        <v>4</v>
      </c>
      <c r="L40" s="50">
        <v>4</v>
      </c>
      <c r="M40" s="50">
        <v>4</v>
      </c>
      <c r="N40" s="50">
        <v>4</v>
      </c>
    </row>
    <row r="41" spans="1:14" x14ac:dyDescent="0.25">
      <c r="A41" s="46" t="s">
        <v>252</v>
      </c>
      <c r="B41" s="46" t="s">
        <v>253</v>
      </c>
      <c r="C41" s="50">
        <v>2</v>
      </c>
      <c r="D41" s="50">
        <v>2</v>
      </c>
      <c r="E41" s="50">
        <v>2</v>
      </c>
      <c r="F41" s="50">
        <v>2</v>
      </c>
      <c r="G41" s="50">
        <v>2</v>
      </c>
      <c r="H41" s="50">
        <v>5</v>
      </c>
      <c r="I41" s="50">
        <v>5</v>
      </c>
      <c r="J41" s="50">
        <v>4</v>
      </c>
      <c r="K41" s="50">
        <v>4</v>
      </c>
      <c r="L41" s="50">
        <v>4</v>
      </c>
      <c r="M41" s="50">
        <v>4</v>
      </c>
      <c r="N41" s="50">
        <v>4</v>
      </c>
    </row>
    <row r="42" spans="1:14" x14ac:dyDescent="0.25">
      <c r="A42" s="46" t="s">
        <v>254</v>
      </c>
      <c r="B42" s="46" t="s">
        <v>255</v>
      </c>
      <c r="C42" s="50">
        <v>2</v>
      </c>
      <c r="D42" s="50">
        <v>2</v>
      </c>
      <c r="E42" s="50">
        <v>2</v>
      </c>
      <c r="F42" s="50">
        <v>2</v>
      </c>
      <c r="G42" s="50">
        <v>2</v>
      </c>
      <c r="H42" s="50">
        <v>5</v>
      </c>
      <c r="I42" s="50">
        <v>5</v>
      </c>
      <c r="J42" s="50">
        <v>4</v>
      </c>
      <c r="K42" s="50">
        <v>4</v>
      </c>
      <c r="L42" s="50">
        <v>4</v>
      </c>
      <c r="M42" s="50">
        <v>4</v>
      </c>
      <c r="N42" s="50">
        <v>4</v>
      </c>
    </row>
    <row r="43" spans="1:14" x14ac:dyDescent="0.25">
      <c r="A43" s="46" t="s">
        <v>56</v>
      </c>
      <c r="B43" s="46" t="s">
        <v>57</v>
      </c>
      <c r="C43" s="50">
        <v>3</v>
      </c>
      <c r="D43" s="50">
        <v>3</v>
      </c>
      <c r="E43" s="50">
        <v>3</v>
      </c>
      <c r="F43" s="50">
        <v>3</v>
      </c>
      <c r="G43" s="50">
        <v>3</v>
      </c>
      <c r="H43" s="50">
        <v>5</v>
      </c>
      <c r="I43" s="50">
        <v>5</v>
      </c>
      <c r="J43" s="50">
        <v>3</v>
      </c>
      <c r="K43" s="50">
        <v>3</v>
      </c>
      <c r="L43" s="50">
        <v>3</v>
      </c>
      <c r="M43" s="50">
        <v>3</v>
      </c>
      <c r="N43" s="50">
        <v>3</v>
      </c>
    </row>
    <row r="44" spans="1:14" x14ac:dyDescent="0.25">
      <c r="A44" s="46" t="s">
        <v>256</v>
      </c>
      <c r="B44" s="46" t="s">
        <v>257</v>
      </c>
      <c r="C44" s="50">
        <v>2</v>
      </c>
      <c r="D44" s="50">
        <v>2</v>
      </c>
      <c r="E44" s="50">
        <v>2</v>
      </c>
      <c r="F44" s="50">
        <v>2</v>
      </c>
      <c r="G44" s="50">
        <v>2</v>
      </c>
      <c r="H44" s="50">
        <v>5</v>
      </c>
      <c r="I44" s="50">
        <v>5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</row>
    <row r="45" spans="1:14" x14ac:dyDescent="0.25">
      <c r="A45" s="46" t="s">
        <v>258</v>
      </c>
      <c r="B45" s="46" t="s">
        <v>259</v>
      </c>
      <c r="C45" s="50">
        <v>2</v>
      </c>
      <c r="D45" s="50">
        <v>2</v>
      </c>
      <c r="E45" s="50">
        <v>2</v>
      </c>
      <c r="F45" s="50">
        <v>2</v>
      </c>
      <c r="G45" s="50">
        <v>2</v>
      </c>
      <c r="H45" s="50">
        <v>5</v>
      </c>
      <c r="I45" s="50">
        <v>5</v>
      </c>
      <c r="J45" s="50">
        <v>4</v>
      </c>
      <c r="K45" s="50">
        <v>4</v>
      </c>
      <c r="L45" s="50">
        <v>4</v>
      </c>
      <c r="M45" s="50">
        <v>4</v>
      </c>
      <c r="N45" s="50">
        <v>4</v>
      </c>
    </row>
    <row r="46" spans="1:14" x14ac:dyDescent="0.25">
      <c r="A46" s="46" t="s">
        <v>260</v>
      </c>
      <c r="B46" s="46" t="s">
        <v>261</v>
      </c>
      <c r="C46" s="50">
        <v>2</v>
      </c>
      <c r="D46" s="50">
        <v>2</v>
      </c>
      <c r="E46" s="50">
        <v>2</v>
      </c>
      <c r="F46" s="50">
        <v>2</v>
      </c>
      <c r="G46" s="50">
        <v>2</v>
      </c>
      <c r="H46" s="50">
        <v>5</v>
      </c>
      <c r="I46" s="50">
        <v>5</v>
      </c>
      <c r="J46" s="50">
        <v>4</v>
      </c>
      <c r="K46" s="50">
        <v>4</v>
      </c>
      <c r="L46" s="50">
        <v>4</v>
      </c>
      <c r="M46" s="50">
        <v>4</v>
      </c>
      <c r="N46" s="50">
        <v>4</v>
      </c>
    </row>
    <row r="47" spans="1:14" x14ac:dyDescent="0.25">
      <c r="A47" s="46" t="s">
        <v>262</v>
      </c>
      <c r="B47" s="46" t="s">
        <v>263</v>
      </c>
      <c r="C47" s="50">
        <v>2</v>
      </c>
      <c r="D47" s="50">
        <v>2</v>
      </c>
      <c r="E47" s="50">
        <v>2</v>
      </c>
      <c r="F47" s="50">
        <v>2</v>
      </c>
      <c r="G47" s="50">
        <v>2</v>
      </c>
      <c r="H47" s="50">
        <v>5</v>
      </c>
      <c r="I47" s="50">
        <v>5</v>
      </c>
      <c r="J47" s="50">
        <v>3</v>
      </c>
      <c r="K47" s="50">
        <v>3</v>
      </c>
      <c r="L47" s="50">
        <v>3</v>
      </c>
      <c r="M47" s="50">
        <v>3</v>
      </c>
      <c r="N47" s="50">
        <v>3</v>
      </c>
    </row>
    <row r="48" spans="1:14" x14ac:dyDescent="0.25">
      <c r="A48" s="46" t="s">
        <v>264</v>
      </c>
      <c r="B48" s="46" t="s">
        <v>265</v>
      </c>
      <c r="C48" s="50">
        <v>2</v>
      </c>
      <c r="D48" s="50">
        <v>2</v>
      </c>
      <c r="E48" s="50">
        <v>2</v>
      </c>
      <c r="F48" s="50">
        <v>2</v>
      </c>
      <c r="G48" s="50">
        <v>2</v>
      </c>
      <c r="H48" s="50">
        <v>5</v>
      </c>
      <c r="I48" s="50">
        <v>5</v>
      </c>
      <c r="J48" s="50">
        <v>3</v>
      </c>
      <c r="K48" s="50">
        <v>3</v>
      </c>
      <c r="L48" s="50">
        <v>3</v>
      </c>
      <c r="M48" s="50">
        <v>3</v>
      </c>
      <c r="N48" s="50">
        <v>3</v>
      </c>
    </row>
    <row r="49" spans="1:14" x14ac:dyDescent="0.25">
      <c r="A49" s="46" t="s">
        <v>159</v>
      </c>
      <c r="B49" s="46" t="s">
        <v>29</v>
      </c>
      <c r="C49" s="50">
        <v>5</v>
      </c>
      <c r="D49" s="50">
        <v>1</v>
      </c>
      <c r="E49" s="50">
        <v>1</v>
      </c>
      <c r="F49" s="50">
        <v>1</v>
      </c>
      <c r="G49" s="50">
        <v>1</v>
      </c>
      <c r="H49" s="50">
        <v>5</v>
      </c>
      <c r="I49" s="50">
        <v>3</v>
      </c>
      <c r="J49" s="50">
        <v>2</v>
      </c>
      <c r="K49" s="50">
        <v>2</v>
      </c>
      <c r="L49" s="50">
        <v>2</v>
      </c>
      <c r="M49" s="50">
        <v>3</v>
      </c>
      <c r="N49" s="50">
        <v>3</v>
      </c>
    </row>
    <row r="50" spans="1:14" x14ac:dyDescent="0.25">
      <c r="A50" s="46" t="s">
        <v>0</v>
      </c>
      <c r="B50" s="46" t="s">
        <v>27</v>
      </c>
      <c r="C50" s="50">
        <v>3</v>
      </c>
      <c r="D50" s="50">
        <v>3</v>
      </c>
      <c r="E50" s="50">
        <v>3</v>
      </c>
      <c r="F50" s="50">
        <v>3</v>
      </c>
      <c r="G50" s="50">
        <v>3</v>
      </c>
      <c r="H50" s="50">
        <v>5</v>
      </c>
      <c r="I50" s="50">
        <v>4</v>
      </c>
      <c r="J50" s="50">
        <v>5</v>
      </c>
      <c r="K50" s="50">
        <v>5</v>
      </c>
      <c r="L50" s="50">
        <v>3</v>
      </c>
      <c r="M50" s="50">
        <v>3</v>
      </c>
      <c r="N50" s="50">
        <v>3</v>
      </c>
    </row>
    <row r="51" spans="1:14" x14ac:dyDescent="0.25">
      <c r="A51" s="46" t="s">
        <v>168</v>
      </c>
      <c r="B51" s="46" t="s">
        <v>169</v>
      </c>
      <c r="C51" s="50">
        <v>3</v>
      </c>
      <c r="D51" s="50">
        <v>3</v>
      </c>
      <c r="E51" s="50">
        <v>3</v>
      </c>
      <c r="F51" s="50">
        <v>3</v>
      </c>
      <c r="G51" s="50">
        <v>3</v>
      </c>
      <c r="H51" s="50">
        <v>5</v>
      </c>
      <c r="I51" s="50">
        <v>4</v>
      </c>
      <c r="J51" s="50">
        <v>4</v>
      </c>
      <c r="K51" s="50">
        <v>4</v>
      </c>
      <c r="L51" s="50">
        <v>4</v>
      </c>
      <c r="M51" s="50">
        <v>4</v>
      </c>
      <c r="N51" s="50">
        <v>4</v>
      </c>
    </row>
    <row r="52" spans="1:14" x14ac:dyDescent="0.25">
      <c r="A52" s="46" t="s">
        <v>170</v>
      </c>
      <c r="B52" s="46" t="s">
        <v>171</v>
      </c>
      <c r="C52" s="50">
        <v>3</v>
      </c>
      <c r="D52" s="50">
        <v>3</v>
      </c>
      <c r="E52" s="50">
        <v>3</v>
      </c>
      <c r="F52" s="50">
        <v>3</v>
      </c>
      <c r="G52" s="50">
        <v>3</v>
      </c>
      <c r="H52" s="50">
        <v>5</v>
      </c>
      <c r="I52" s="50">
        <v>4</v>
      </c>
      <c r="J52" s="50">
        <v>4</v>
      </c>
      <c r="K52" s="50">
        <v>4</v>
      </c>
      <c r="L52" s="50">
        <v>4</v>
      </c>
      <c r="M52" s="50">
        <v>4</v>
      </c>
      <c r="N52" s="50">
        <v>4</v>
      </c>
    </row>
    <row r="53" spans="1:14" x14ac:dyDescent="0.25">
      <c r="A53" s="46" t="s">
        <v>172</v>
      </c>
      <c r="B53" s="46" t="s">
        <v>173</v>
      </c>
      <c r="C53" s="50">
        <v>3</v>
      </c>
      <c r="D53" s="50">
        <v>3</v>
      </c>
      <c r="E53" s="50">
        <v>3</v>
      </c>
      <c r="F53" s="50">
        <v>3</v>
      </c>
      <c r="G53" s="50">
        <v>3</v>
      </c>
      <c r="H53" s="50">
        <v>5</v>
      </c>
      <c r="I53" s="50">
        <v>4</v>
      </c>
      <c r="J53" s="50">
        <v>4</v>
      </c>
      <c r="K53" s="50">
        <v>4</v>
      </c>
      <c r="L53" s="50">
        <v>4</v>
      </c>
      <c r="M53" s="50">
        <v>4</v>
      </c>
      <c r="N53" s="50">
        <v>4</v>
      </c>
    </row>
    <row r="54" spans="1:14" x14ac:dyDescent="0.25">
      <c r="A54" s="46" t="s">
        <v>103</v>
      </c>
      <c r="B54" s="46" t="s">
        <v>104</v>
      </c>
      <c r="C54" s="50">
        <v>3</v>
      </c>
      <c r="D54" s="50">
        <v>3</v>
      </c>
      <c r="E54" s="50">
        <v>3</v>
      </c>
      <c r="F54" s="50">
        <v>3</v>
      </c>
      <c r="G54" s="50">
        <v>3</v>
      </c>
      <c r="H54" s="50">
        <v>5</v>
      </c>
      <c r="I54" s="50">
        <v>5</v>
      </c>
      <c r="J54" s="50">
        <v>4</v>
      </c>
      <c r="K54" s="50">
        <v>4</v>
      </c>
      <c r="L54" s="50">
        <v>4</v>
      </c>
      <c r="M54" s="50">
        <v>4</v>
      </c>
      <c r="N54" s="50">
        <v>5</v>
      </c>
    </row>
    <row r="55" spans="1:14" x14ac:dyDescent="0.25">
      <c r="A55" s="46" t="s">
        <v>1</v>
      </c>
      <c r="B55" s="46" t="s">
        <v>30</v>
      </c>
      <c r="C55" s="50">
        <v>3</v>
      </c>
      <c r="D55" s="50">
        <v>3</v>
      </c>
      <c r="E55" s="50">
        <v>2</v>
      </c>
      <c r="F55" s="50">
        <v>2</v>
      </c>
      <c r="G55" s="50">
        <v>2</v>
      </c>
      <c r="H55" s="50">
        <v>5</v>
      </c>
      <c r="I55" s="50">
        <v>3</v>
      </c>
      <c r="J55" s="50">
        <v>2</v>
      </c>
      <c r="K55" s="50">
        <v>2</v>
      </c>
      <c r="L55" s="50">
        <v>2</v>
      </c>
      <c r="M55" s="50">
        <v>3</v>
      </c>
      <c r="N55" s="50">
        <v>3</v>
      </c>
    </row>
    <row r="56" spans="1:14" x14ac:dyDescent="0.25">
      <c r="A56" s="46" t="s">
        <v>81</v>
      </c>
      <c r="B56" s="46" t="s">
        <v>82</v>
      </c>
      <c r="C56" s="50">
        <v>2</v>
      </c>
      <c r="D56" s="50">
        <v>2</v>
      </c>
      <c r="E56" s="50">
        <v>2</v>
      </c>
      <c r="F56" s="50">
        <v>2</v>
      </c>
      <c r="G56" s="50">
        <v>2</v>
      </c>
      <c r="H56" s="50">
        <v>5</v>
      </c>
      <c r="I56" s="50">
        <v>4</v>
      </c>
      <c r="J56" s="50">
        <v>3</v>
      </c>
      <c r="K56" s="50">
        <v>4</v>
      </c>
      <c r="L56" s="50">
        <v>3</v>
      </c>
      <c r="M56" s="50">
        <v>4</v>
      </c>
      <c r="N56" s="50">
        <v>4</v>
      </c>
    </row>
    <row r="57" spans="1:14" x14ac:dyDescent="0.25">
      <c r="A57" s="46" t="s">
        <v>105</v>
      </c>
      <c r="B57" s="46" t="s">
        <v>106</v>
      </c>
      <c r="C57" s="50">
        <v>5</v>
      </c>
      <c r="D57" s="50">
        <v>2</v>
      </c>
      <c r="E57" s="50">
        <v>2</v>
      </c>
      <c r="F57" s="50">
        <v>2</v>
      </c>
      <c r="G57" s="50">
        <v>2</v>
      </c>
      <c r="H57" s="50">
        <v>5</v>
      </c>
      <c r="I57" s="50">
        <v>4</v>
      </c>
      <c r="J57" s="50">
        <v>2</v>
      </c>
      <c r="K57" s="50">
        <v>3</v>
      </c>
      <c r="L57" s="50">
        <v>2</v>
      </c>
      <c r="M57" s="50">
        <v>3</v>
      </c>
      <c r="N57" s="50">
        <v>3</v>
      </c>
    </row>
    <row r="58" spans="1:14" x14ac:dyDescent="0.25">
      <c r="A58" s="46" t="s">
        <v>107</v>
      </c>
      <c r="B58" s="46" t="s">
        <v>108</v>
      </c>
      <c r="C58" s="50">
        <v>5</v>
      </c>
      <c r="D58" s="50">
        <v>2</v>
      </c>
      <c r="E58" s="50">
        <v>2</v>
      </c>
      <c r="F58" s="50">
        <v>2</v>
      </c>
      <c r="G58" s="50">
        <v>2</v>
      </c>
      <c r="H58" s="50">
        <v>5</v>
      </c>
      <c r="I58" s="50">
        <v>4</v>
      </c>
      <c r="J58" s="50">
        <v>2</v>
      </c>
      <c r="K58" s="50">
        <v>3</v>
      </c>
      <c r="L58" s="50">
        <v>2</v>
      </c>
      <c r="M58" s="50">
        <v>3</v>
      </c>
      <c r="N58" s="50">
        <v>3</v>
      </c>
    </row>
    <row r="59" spans="1:14" x14ac:dyDescent="0.25">
      <c r="A59" s="46" t="s">
        <v>174</v>
      </c>
      <c r="B59" s="46" t="s">
        <v>175</v>
      </c>
      <c r="C59" s="50">
        <v>5</v>
      </c>
      <c r="D59" s="50">
        <v>2</v>
      </c>
      <c r="E59" s="50">
        <v>2</v>
      </c>
      <c r="F59" s="50">
        <v>2</v>
      </c>
      <c r="G59" s="50">
        <v>2</v>
      </c>
      <c r="H59" s="50">
        <v>5</v>
      </c>
      <c r="I59" s="50">
        <v>4</v>
      </c>
      <c r="J59" s="50">
        <v>3</v>
      </c>
      <c r="K59" s="50">
        <v>4</v>
      </c>
      <c r="L59" s="50">
        <v>3</v>
      </c>
      <c r="M59" s="50">
        <v>4</v>
      </c>
      <c r="N59" s="50">
        <v>4</v>
      </c>
    </row>
    <row r="60" spans="1:14" x14ac:dyDescent="0.25">
      <c r="A60" s="46" t="s">
        <v>176</v>
      </c>
      <c r="B60" s="46" t="s">
        <v>177</v>
      </c>
      <c r="C60" s="50">
        <v>5</v>
      </c>
      <c r="D60" s="50">
        <v>2</v>
      </c>
      <c r="E60" s="50">
        <v>2</v>
      </c>
      <c r="F60" s="50">
        <v>2</v>
      </c>
      <c r="G60" s="50">
        <v>2</v>
      </c>
      <c r="H60" s="50">
        <v>5</v>
      </c>
      <c r="I60" s="50">
        <v>4</v>
      </c>
      <c r="J60" s="50">
        <v>3</v>
      </c>
      <c r="K60" s="50">
        <v>4</v>
      </c>
      <c r="L60" s="50">
        <v>3</v>
      </c>
      <c r="M60" s="50">
        <v>4</v>
      </c>
      <c r="N60" s="50">
        <v>4</v>
      </c>
    </row>
    <row r="61" spans="1:14" x14ac:dyDescent="0.25">
      <c r="A61" s="46" t="s">
        <v>2</v>
      </c>
      <c r="B61" s="46" t="s">
        <v>28</v>
      </c>
      <c r="C61" s="50">
        <v>3</v>
      </c>
      <c r="D61" s="50">
        <v>3</v>
      </c>
      <c r="E61" s="50">
        <v>3</v>
      </c>
      <c r="F61" s="50">
        <v>3</v>
      </c>
      <c r="G61" s="50">
        <v>3</v>
      </c>
      <c r="H61" s="50">
        <v>5</v>
      </c>
      <c r="I61" s="50">
        <v>4</v>
      </c>
      <c r="J61" s="50">
        <v>4</v>
      </c>
      <c r="K61" s="50">
        <v>4</v>
      </c>
      <c r="L61" s="50">
        <v>4</v>
      </c>
      <c r="M61" s="50">
        <v>4</v>
      </c>
      <c r="N61" s="50">
        <v>4</v>
      </c>
    </row>
    <row r="62" spans="1:14" x14ac:dyDescent="0.25">
      <c r="A62" s="46" t="s">
        <v>3</v>
      </c>
      <c r="B62" s="46" t="s">
        <v>109</v>
      </c>
      <c r="C62" s="50">
        <v>3</v>
      </c>
      <c r="D62" s="50">
        <v>3</v>
      </c>
      <c r="E62" s="50">
        <v>3</v>
      </c>
      <c r="F62" s="50">
        <v>3</v>
      </c>
      <c r="G62" s="50">
        <v>3</v>
      </c>
      <c r="H62" s="50">
        <v>5</v>
      </c>
      <c r="I62" s="50">
        <v>4</v>
      </c>
      <c r="J62" s="50">
        <v>4</v>
      </c>
      <c r="K62" s="50">
        <v>4</v>
      </c>
      <c r="L62" s="50">
        <v>4</v>
      </c>
      <c r="M62" s="50">
        <v>4</v>
      </c>
      <c r="N62" s="50">
        <v>4</v>
      </c>
    </row>
    <row r="63" spans="1:14" x14ac:dyDescent="0.25">
      <c r="A63" s="46" t="s">
        <v>4</v>
      </c>
      <c r="B63" s="46" t="s">
        <v>31</v>
      </c>
      <c r="C63" s="50">
        <v>3</v>
      </c>
      <c r="D63" s="50">
        <v>3</v>
      </c>
      <c r="E63" s="50">
        <v>3</v>
      </c>
      <c r="F63" s="50">
        <v>3</v>
      </c>
      <c r="G63" s="50">
        <v>3</v>
      </c>
      <c r="H63" s="50">
        <v>5</v>
      </c>
      <c r="I63" s="50">
        <v>4</v>
      </c>
      <c r="J63" s="50">
        <v>4</v>
      </c>
      <c r="K63" s="50">
        <v>4</v>
      </c>
      <c r="L63" s="50">
        <v>4</v>
      </c>
      <c r="M63" s="50">
        <v>4</v>
      </c>
      <c r="N63" s="50">
        <v>4</v>
      </c>
    </row>
    <row r="64" spans="1:14" x14ac:dyDescent="0.25">
      <c r="A64" s="46" t="s">
        <v>5</v>
      </c>
      <c r="B64" s="46" t="s">
        <v>32</v>
      </c>
      <c r="C64" s="50">
        <v>3</v>
      </c>
      <c r="D64" s="50">
        <v>3</v>
      </c>
      <c r="E64" s="50">
        <v>3</v>
      </c>
      <c r="F64" s="50">
        <v>3</v>
      </c>
      <c r="G64" s="50">
        <v>3</v>
      </c>
      <c r="H64" s="50">
        <v>5</v>
      </c>
      <c r="I64" s="50">
        <v>4</v>
      </c>
      <c r="J64" s="50">
        <v>3</v>
      </c>
      <c r="K64" s="50">
        <v>4</v>
      </c>
      <c r="L64" s="50">
        <v>3</v>
      </c>
      <c r="M64" s="50">
        <v>4</v>
      </c>
      <c r="N64" s="50">
        <v>4</v>
      </c>
    </row>
    <row r="65" spans="1:14" x14ac:dyDescent="0.25">
      <c r="A65" s="46" t="s">
        <v>6</v>
      </c>
      <c r="B65" s="46" t="s">
        <v>33</v>
      </c>
      <c r="C65" s="50">
        <v>3</v>
      </c>
      <c r="D65" s="50">
        <v>3</v>
      </c>
      <c r="E65" s="50">
        <v>3</v>
      </c>
      <c r="F65" s="50">
        <v>3</v>
      </c>
      <c r="G65" s="50">
        <v>3</v>
      </c>
      <c r="H65" s="50">
        <v>5</v>
      </c>
      <c r="I65" s="50">
        <v>4</v>
      </c>
      <c r="J65" s="50">
        <v>3</v>
      </c>
      <c r="K65" s="50">
        <v>4</v>
      </c>
      <c r="L65" s="50">
        <v>3</v>
      </c>
      <c r="M65" s="50">
        <v>4</v>
      </c>
      <c r="N65" s="50">
        <v>4</v>
      </c>
    </row>
    <row r="66" spans="1:14" x14ac:dyDescent="0.25">
      <c r="A66" s="46" t="s">
        <v>7</v>
      </c>
      <c r="B66" s="46" t="s">
        <v>34</v>
      </c>
      <c r="C66" s="50">
        <v>3</v>
      </c>
      <c r="D66" s="50">
        <v>3</v>
      </c>
      <c r="E66" s="50">
        <v>3</v>
      </c>
      <c r="F66" s="50">
        <v>3</v>
      </c>
      <c r="G66" s="50">
        <v>3</v>
      </c>
      <c r="H66" s="50">
        <v>5</v>
      </c>
      <c r="I66" s="50">
        <v>4</v>
      </c>
      <c r="J66" s="50">
        <v>3</v>
      </c>
      <c r="K66" s="50">
        <v>4</v>
      </c>
      <c r="L66" s="50">
        <v>3</v>
      </c>
      <c r="M66" s="50">
        <v>4</v>
      </c>
      <c r="N66" s="50">
        <v>4</v>
      </c>
    </row>
    <row r="67" spans="1:14" x14ac:dyDescent="0.25">
      <c r="A67" s="46" t="s">
        <v>8</v>
      </c>
      <c r="B67" s="46" t="s">
        <v>35</v>
      </c>
      <c r="C67" s="50">
        <v>3</v>
      </c>
      <c r="D67" s="50">
        <v>3</v>
      </c>
      <c r="E67" s="50">
        <v>3</v>
      </c>
      <c r="F67" s="50">
        <v>3</v>
      </c>
      <c r="G67" s="50">
        <v>3</v>
      </c>
      <c r="H67" s="50">
        <v>5</v>
      </c>
      <c r="I67" s="50">
        <v>4</v>
      </c>
      <c r="J67" s="50">
        <v>3</v>
      </c>
      <c r="K67" s="50">
        <v>4</v>
      </c>
      <c r="L67" s="50">
        <v>3</v>
      </c>
      <c r="M67" s="50">
        <v>4</v>
      </c>
      <c r="N67" s="50">
        <v>4</v>
      </c>
    </row>
    <row r="68" spans="1:14" x14ac:dyDescent="0.25">
      <c r="A68" s="46" t="s">
        <v>9</v>
      </c>
      <c r="B68" s="46" t="s">
        <v>36</v>
      </c>
      <c r="C68" s="50">
        <v>3</v>
      </c>
      <c r="D68" s="50">
        <v>3</v>
      </c>
      <c r="E68" s="50">
        <v>3</v>
      </c>
      <c r="F68" s="50">
        <v>3</v>
      </c>
      <c r="G68" s="50">
        <v>3</v>
      </c>
      <c r="H68" s="50">
        <v>5</v>
      </c>
      <c r="I68" s="50">
        <v>4</v>
      </c>
      <c r="J68" s="50">
        <v>3</v>
      </c>
      <c r="K68" s="50">
        <v>4</v>
      </c>
      <c r="L68" s="50">
        <v>3</v>
      </c>
      <c r="M68" s="50">
        <v>4</v>
      </c>
      <c r="N68" s="50">
        <v>4</v>
      </c>
    </row>
    <row r="69" spans="1:14" x14ac:dyDescent="0.25">
      <c r="A69" s="46" t="s">
        <v>10</v>
      </c>
      <c r="B69" s="46" t="s">
        <v>37</v>
      </c>
      <c r="C69" s="50">
        <v>3</v>
      </c>
      <c r="D69" s="50">
        <v>3</v>
      </c>
      <c r="E69" s="50">
        <v>3</v>
      </c>
      <c r="F69" s="50">
        <v>3</v>
      </c>
      <c r="G69" s="50">
        <v>3</v>
      </c>
      <c r="H69" s="50">
        <v>5</v>
      </c>
      <c r="I69" s="50">
        <v>4</v>
      </c>
      <c r="J69" s="50">
        <v>3</v>
      </c>
      <c r="K69" s="50">
        <v>4</v>
      </c>
      <c r="L69" s="50">
        <v>3</v>
      </c>
      <c r="M69" s="50">
        <v>4</v>
      </c>
      <c r="N69" s="50">
        <v>4</v>
      </c>
    </row>
    <row r="70" spans="1:14" x14ac:dyDescent="0.25">
      <c r="A70" s="46" t="s">
        <v>78</v>
      </c>
      <c r="B70" s="46" t="s">
        <v>36</v>
      </c>
      <c r="C70" s="50">
        <v>3</v>
      </c>
      <c r="D70" s="50">
        <v>3</v>
      </c>
      <c r="E70" s="50">
        <v>3</v>
      </c>
      <c r="F70" s="50">
        <v>3</v>
      </c>
      <c r="G70" s="50">
        <v>3</v>
      </c>
      <c r="H70" s="50">
        <v>5</v>
      </c>
      <c r="I70" s="50">
        <v>4</v>
      </c>
      <c r="J70" s="50">
        <v>3</v>
      </c>
      <c r="K70" s="50">
        <v>4</v>
      </c>
      <c r="L70" s="50">
        <v>3</v>
      </c>
      <c r="M70" s="50">
        <v>4</v>
      </c>
      <c r="N70" s="50">
        <v>4</v>
      </c>
    </row>
    <row r="71" spans="1:14" x14ac:dyDescent="0.25">
      <c r="A71" s="46" t="s">
        <v>11</v>
      </c>
      <c r="B71" s="46" t="s">
        <v>38</v>
      </c>
      <c r="C71" s="50">
        <v>3</v>
      </c>
      <c r="D71" s="50">
        <v>3</v>
      </c>
      <c r="E71" s="50">
        <v>3</v>
      </c>
      <c r="F71" s="50">
        <v>3</v>
      </c>
      <c r="G71" s="50">
        <v>3</v>
      </c>
      <c r="H71" s="50">
        <v>5</v>
      </c>
      <c r="I71" s="50">
        <v>4</v>
      </c>
      <c r="J71" s="50">
        <v>3</v>
      </c>
      <c r="K71" s="50">
        <v>4</v>
      </c>
      <c r="L71" s="50">
        <v>3</v>
      </c>
      <c r="M71" s="50">
        <v>4</v>
      </c>
      <c r="N71" s="50">
        <v>4</v>
      </c>
    </row>
    <row r="72" spans="1:14" x14ac:dyDescent="0.25">
      <c r="A72" s="46" t="s">
        <v>70</v>
      </c>
      <c r="B72" s="46" t="s">
        <v>71</v>
      </c>
      <c r="C72" s="50">
        <v>3</v>
      </c>
      <c r="D72" s="50">
        <v>3</v>
      </c>
      <c r="E72" s="50">
        <v>3</v>
      </c>
      <c r="F72" s="50">
        <v>3</v>
      </c>
      <c r="G72" s="50">
        <v>3</v>
      </c>
      <c r="H72" s="50">
        <v>5</v>
      </c>
      <c r="I72" s="50">
        <v>4</v>
      </c>
      <c r="J72" s="50">
        <v>3</v>
      </c>
      <c r="K72" s="50">
        <v>4</v>
      </c>
      <c r="L72" s="50">
        <v>3</v>
      </c>
      <c r="M72" s="50">
        <v>4</v>
      </c>
      <c r="N72" s="50">
        <v>4</v>
      </c>
    </row>
    <row r="73" spans="1:14" x14ac:dyDescent="0.25">
      <c r="A73" s="46" t="s">
        <v>74</v>
      </c>
      <c r="B73" s="46" t="s">
        <v>75</v>
      </c>
      <c r="C73" s="50">
        <v>2</v>
      </c>
      <c r="D73" s="50">
        <v>2</v>
      </c>
      <c r="E73" s="50">
        <v>2</v>
      </c>
      <c r="F73" s="50">
        <v>2</v>
      </c>
      <c r="G73" s="50">
        <v>2</v>
      </c>
      <c r="H73" s="50">
        <v>5</v>
      </c>
      <c r="I73" s="50">
        <v>4</v>
      </c>
      <c r="J73" s="50">
        <v>3</v>
      </c>
      <c r="K73" s="50">
        <v>4</v>
      </c>
      <c r="L73" s="50">
        <v>3</v>
      </c>
      <c r="M73" s="50">
        <v>4</v>
      </c>
      <c r="N73" s="50">
        <v>4</v>
      </c>
    </row>
    <row r="74" spans="1:14" x14ac:dyDescent="0.25">
      <c r="A74" s="46" t="s">
        <v>12</v>
      </c>
      <c r="B74" s="46" t="s">
        <v>110</v>
      </c>
      <c r="C74" s="50">
        <v>3</v>
      </c>
      <c r="D74" s="50">
        <v>3</v>
      </c>
      <c r="E74" s="50">
        <v>3</v>
      </c>
      <c r="F74" s="50">
        <v>3</v>
      </c>
      <c r="G74" s="50">
        <v>3</v>
      </c>
      <c r="H74" s="50">
        <v>5</v>
      </c>
      <c r="I74" s="50">
        <v>4</v>
      </c>
      <c r="J74" s="50">
        <v>4</v>
      </c>
      <c r="K74" s="50">
        <v>4</v>
      </c>
      <c r="L74" s="50">
        <v>4</v>
      </c>
      <c r="M74" s="50">
        <v>4</v>
      </c>
      <c r="N74" s="50">
        <v>4</v>
      </c>
    </row>
    <row r="75" spans="1:14" x14ac:dyDescent="0.25">
      <c r="A75" s="46" t="s">
        <v>83</v>
      </c>
      <c r="B75" s="46" t="s">
        <v>84</v>
      </c>
      <c r="C75" s="50">
        <v>3</v>
      </c>
      <c r="D75" s="50">
        <v>3</v>
      </c>
      <c r="E75" s="50">
        <v>3</v>
      </c>
      <c r="F75" s="50">
        <v>3</v>
      </c>
      <c r="G75" s="50">
        <v>3</v>
      </c>
      <c r="H75" s="50">
        <v>5</v>
      </c>
      <c r="I75" s="50">
        <v>4</v>
      </c>
      <c r="J75" s="50">
        <v>4</v>
      </c>
      <c r="K75" s="50">
        <v>4</v>
      </c>
      <c r="L75" s="50">
        <v>4</v>
      </c>
      <c r="M75" s="50">
        <v>4</v>
      </c>
      <c r="N75" s="50">
        <v>4</v>
      </c>
    </row>
    <row r="76" spans="1:14" x14ac:dyDescent="0.25">
      <c r="A76" s="46" t="s">
        <v>85</v>
      </c>
      <c r="B76" s="46" t="s">
        <v>86</v>
      </c>
      <c r="C76" s="50">
        <v>3</v>
      </c>
      <c r="D76" s="50">
        <v>3</v>
      </c>
      <c r="E76" s="50">
        <v>3</v>
      </c>
      <c r="F76" s="50">
        <v>3</v>
      </c>
      <c r="G76" s="50">
        <v>3</v>
      </c>
      <c r="H76" s="50">
        <v>5</v>
      </c>
      <c r="I76" s="50">
        <v>4</v>
      </c>
      <c r="J76" s="50">
        <v>4</v>
      </c>
      <c r="K76" s="50">
        <v>4</v>
      </c>
      <c r="L76" s="50">
        <v>4</v>
      </c>
      <c r="M76" s="50">
        <v>4</v>
      </c>
      <c r="N76" s="50">
        <v>4</v>
      </c>
    </row>
    <row r="77" spans="1:14" x14ac:dyDescent="0.25">
      <c r="A77" s="46" t="s">
        <v>178</v>
      </c>
      <c r="B77" s="46" t="s">
        <v>179</v>
      </c>
      <c r="C77" s="50">
        <v>2</v>
      </c>
      <c r="D77" s="50">
        <v>2</v>
      </c>
      <c r="E77" s="50">
        <v>1</v>
      </c>
      <c r="F77" s="50">
        <v>1</v>
      </c>
      <c r="G77" s="50">
        <v>1</v>
      </c>
      <c r="H77" s="50">
        <v>5</v>
      </c>
      <c r="I77" s="50">
        <v>3</v>
      </c>
      <c r="J77" s="50">
        <v>3</v>
      </c>
      <c r="K77" s="50">
        <v>4</v>
      </c>
      <c r="L77" s="50">
        <v>3</v>
      </c>
      <c r="M77" s="50">
        <v>3</v>
      </c>
      <c r="N77" s="50">
        <v>3</v>
      </c>
    </row>
    <row r="78" spans="1:14" x14ac:dyDescent="0.25">
      <c r="A78" s="46" t="s">
        <v>111</v>
      </c>
      <c r="B78" s="46" t="s">
        <v>112</v>
      </c>
      <c r="C78" s="50">
        <v>3</v>
      </c>
      <c r="D78" s="50">
        <v>3</v>
      </c>
      <c r="E78" s="50">
        <v>3</v>
      </c>
      <c r="F78" s="50">
        <v>3</v>
      </c>
      <c r="G78" s="50">
        <v>3</v>
      </c>
      <c r="H78" s="50">
        <v>6</v>
      </c>
      <c r="I78" s="50">
        <v>4</v>
      </c>
      <c r="J78" s="50">
        <v>3</v>
      </c>
      <c r="K78" s="50">
        <v>3</v>
      </c>
      <c r="L78" s="50">
        <v>4</v>
      </c>
      <c r="M78" s="50">
        <v>3</v>
      </c>
      <c r="N78" s="50">
        <v>15</v>
      </c>
    </row>
    <row r="79" spans="1:14" x14ac:dyDescent="0.25">
      <c r="A79" s="46" t="s">
        <v>274</v>
      </c>
      <c r="B79" s="46" t="s">
        <v>275</v>
      </c>
      <c r="C79" s="50">
        <v>1</v>
      </c>
      <c r="D79" s="50">
        <v>1</v>
      </c>
      <c r="E79" s="50">
        <v>1</v>
      </c>
      <c r="F79" s="50">
        <v>1</v>
      </c>
      <c r="G79" s="50">
        <v>1</v>
      </c>
      <c r="H79" s="50">
        <v>2</v>
      </c>
      <c r="I79" s="50">
        <v>1</v>
      </c>
      <c r="J79" s="50">
        <v>1</v>
      </c>
      <c r="K79" s="50">
        <v>1</v>
      </c>
      <c r="L79" s="50">
        <v>1</v>
      </c>
      <c r="M79" s="50">
        <v>1</v>
      </c>
      <c r="N79" s="50">
        <v>5</v>
      </c>
    </row>
    <row r="80" spans="1:14" x14ac:dyDescent="0.25">
      <c r="A80" s="46" t="s">
        <v>113</v>
      </c>
      <c r="B80" s="46" t="s">
        <v>114</v>
      </c>
      <c r="C80" s="50">
        <v>1</v>
      </c>
      <c r="D80" s="50">
        <v>1</v>
      </c>
      <c r="E80" s="50">
        <v>1</v>
      </c>
      <c r="F80" s="50">
        <v>1</v>
      </c>
      <c r="G80" s="50">
        <v>1</v>
      </c>
      <c r="H80" s="50">
        <v>1</v>
      </c>
      <c r="I80" s="50">
        <v>1</v>
      </c>
      <c r="J80" s="50">
        <v>1</v>
      </c>
      <c r="K80" s="50">
        <v>4</v>
      </c>
      <c r="L80" s="50">
        <v>1</v>
      </c>
      <c r="M80" s="50">
        <v>1</v>
      </c>
      <c r="N80" s="50">
        <v>1</v>
      </c>
    </row>
    <row r="81" spans="1:14" x14ac:dyDescent="0.25">
      <c r="A81" s="46" t="s">
        <v>13</v>
      </c>
      <c r="B81" s="46" t="s">
        <v>115</v>
      </c>
      <c r="C81" s="50">
        <v>1</v>
      </c>
      <c r="D81" s="50">
        <v>1</v>
      </c>
      <c r="E81" s="50">
        <v>1</v>
      </c>
      <c r="F81" s="50">
        <v>1</v>
      </c>
      <c r="G81" s="50">
        <v>1</v>
      </c>
      <c r="H81" s="50">
        <v>3</v>
      </c>
      <c r="I81" s="50">
        <v>5</v>
      </c>
      <c r="J81" s="50">
        <v>1</v>
      </c>
      <c r="K81" s="50">
        <v>1</v>
      </c>
      <c r="L81" s="50">
        <v>4</v>
      </c>
      <c r="M81" s="50">
        <v>1</v>
      </c>
      <c r="N81" s="50">
        <v>1</v>
      </c>
    </row>
    <row r="82" spans="1:14" x14ac:dyDescent="0.25">
      <c r="A82" s="46" t="s">
        <v>87</v>
      </c>
      <c r="B82" s="46" t="s">
        <v>88</v>
      </c>
      <c r="C82" s="50">
        <v>1</v>
      </c>
      <c r="D82" s="50">
        <v>1</v>
      </c>
      <c r="E82" s="50">
        <v>1</v>
      </c>
      <c r="F82" s="50">
        <v>1</v>
      </c>
      <c r="G82" s="50">
        <v>1</v>
      </c>
      <c r="H82" s="50">
        <v>3</v>
      </c>
      <c r="I82" s="50">
        <v>5</v>
      </c>
      <c r="J82" s="50">
        <v>1</v>
      </c>
      <c r="K82" s="50">
        <v>1</v>
      </c>
      <c r="L82" s="50">
        <v>4</v>
      </c>
      <c r="M82" s="50">
        <v>1</v>
      </c>
      <c r="N82" s="50">
        <v>1</v>
      </c>
    </row>
    <row r="83" spans="1:14" x14ac:dyDescent="0.25">
      <c r="A83" s="46" t="s">
        <v>180</v>
      </c>
      <c r="B83" s="46" t="s">
        <v>181</v>
      </c>
      <c r="C83" s="50">
        <v>1</v>
      </c>
      <c r="D83" s="50">
        <v>1</v>
      </c>
      <c r="E83" s="50">
        <v>1</v>
      </c>
      <c r="F83" s="50">
        <v>1</v>
      </c>
      <c r="G83" s="50">
        <v>1</v>
      </c>
      <c r="H83" s="50">
        <v>2</v>
      </c>
      <c r="I83" s="50">
        <v>1</v>
      </c>
      <c r="J83" s="50">
        <v>1</v>
      </c>
      <c r="K83" s="50">
        <v>5</v>
      </c>
      <c r="L83" s="50">
        <v>1</v>
      </c>
      <c r="M83" s="50">
        <v>1</v>
      </c>
      <c r="N83" s="50">
        <v>1</v>
      </c>
    </row>
    <row r="84" spans="1:14" x14ac:dyDescent="0.25">
      <c r="A84" s="46" t="s">
        <v>116</v>
      </c>
      <c r="B84" s="46" t="s">
        <v>117</v>
      </c>
      <c r="C84" s="50">
        <v>5</v>
      </c>
      <c r="D84" s="50">
        <v>4</v>
      </c>
      <c r="E84" s="50">
        <v>4</v>
      </c>
      <c r="F84" s="50">
        <v>4</v>
      </c>
      <c r="G84" s="50">
        <v>4</v>
      </c>
      <c r="H84" s="50">
        <v>5</v>
      </c>
      <c r="I84" s="50">
        <v>5</v>
      </c>
      <c r="J84" s="50">
        <v>4</v>
      </c>
      <c r="K84" s="50">
        <v>4</v>
      </c>
      <c r="L84" s="50">
        <v>4</v>
      </c>
      <c r="M84" s="50">
        <v>4</v>
      </c>
      <c r="N84" s="50">
        <v>4</v>
      </c>
    </row>
    <row r="85" spans="1:14" x14ac:dyDescent="0.25">
      <c r="A85" s="46" t="s">
        <v>118</v>
      </c>
      <c r="B85" s="46" t="s">
        <v>119</v>
      </c>
      <c r="C85" s="50">
        <v>3</v>
      </c>
      <c r="D85" s="50">
        <v>3</v>
      </c>
      <c r="E85" s="50">
        <v>3</v>
      </c>
      <c r="F85" s="50">
        <v>3</v>
      </c>
      <c r="G85" s="50">
        <v>3</v>
      </c>
      <c r="H85" s="50">
        <v>5</v>
      </c>
      <c r="I85" s="50">
        <v>5</v>
      </c>
      <c r="J85" s="50">
        <v>4</v>
      </c>
      <c r="K85" s="50">
        <v>4</v>
      </c>
      <c r="L85" s="50">
        <v>4</v>
      </c>
      <c r="M85" s="50">
        <v>4</v>
      </c>
      <c r="N85" s="50">
        <v>4</v>
      </c>
    </row>
    <row r="86" spans="1:14" x14ac:dyDescent="0.25">
      <c r="A86" s="46" t="s">
        <v>182</v>
      </c>
      <c r="B86" s="46" t="s">
        <v>183</v>
      </c>
      <c r="C86" s="50">
        <v>1</v>
      </c>
      <c r="D86" s="50">
        <v>1</v>
      </c>
      <c r="E86" s="50">
        <v>1</v>
      </c>
      <c r="F86" s="50">
        <v>1</v>
      </c>
      <c r="G86" s="50">
        <v>1</v>
      </c>
      <c r="H86" s="50">
        <v>2</v>
      </c>
      <c r="I86" s="50">
        <v>1</v>
      </c>
      <c r="J86" s="50">
        <v>1</v>
      </c>
      <c r="K86" s="50">
        <v>5</v>
      </c>
      <c r="L86" s="50">
        <v>1</v>
      </c>
      <c r="M86" s="50">
        <v>1</v>
      </c>
      <c r="N86" s="50">
        <v>1</v>
      </c>
    </row>
    <row r="87" spans="1:14" x14ac:dyDescent="0.25">
      <c r="A87" s="46" t="s">
        <v>68</v>
      </c>
      <c r="B87" s="46" t="s">
        <v>54</v>
      </c>
      <c r="C87" s="50">
        <v>2</v>
      </c>
      <c r="D87" s="50">
        <v>2</v>
      </c>
      <c r="E87" s="50">
        <v>2</v>
      </c>
      <c r="F87" s="50">
        <v>2</v>
      </c>
      <c r="G87" s="50">
        <v>2</v>
      </c>
      <c r="H87" s="50">
        <v>5</v>
      </c>
      <c r="I87" s="50">
        <v>3</v>
      </c>
      <c r="J87" s="50">
        <v>3</v>
      </c>
      <c r="K87" s="50">
        <v>4</v>
      </c>
      <c r="L87" s="50">
        <v>3</v>
      </c>
      <c r="M87" s="50">
        <v>4</v>
      </c>
      <c r="N87" s="50">
        <v>4</v>
      </c>
    </row>
    <row r="88" spans="1:14" x14ac:dyDescent="0.25">
      <c r="A88" s="46" t="s">
        <v>14</v>
      </c>
      <c r="B88" s="46" t="s">
        <v>39</v>
      </c>
      <c r="C88" s="50">
        <v>2</v>
      </c>
      <c r="D88" s="50">
        <v>2</v>
      </c>
      <c r="E88" s="50">
        <v>2</v>
      </c>
      <c r="F88" s="50">
        <v>2</v>
      </c>
      <c r="G88" s="50">
        <v>2</v>
      </c>
      <c r="H88" s="50">
        <v>5</v>
      </c>
      <c r="I88" s="50">
        <v>3</v>
      </c>
      <c r="J88" s="50">
        <v>4</v>
      </c>
      <c r="K88" s="50">
        <v>3</v>
      </c>
      <c r="L88" s="50">
        <v>3</v>
      </c>
      <c r="M88" s="50">
        <v>3</v>
      </c>
      <c r="N88" s="50">
        <v>3</v>
      </c>
    </row>
    <row r="89" spans="1:14" x14ac:dyDescent="0.25">
      <c r="A89" s="46" t="s">
        <v>184</v>
      </c>
      <c r="B89" s="46" t="s">
        <v>185</v>
      </c>
      <c r="C89" s="50">
        <v>3</v>
      </c>
      <c r="D89" s="50">
        <v>3</v>
      </c>
      <c r="E89" s="50">
        <v>2</v>
      </c>
      <c r="F89" s="50">
        <v>2</v>
      </c>
      <c r="G89" s="50">
        <v>2</v>
      </c>
      <c r="H89" s="50">
        <v>5</v>
      </c>
      <c r="I89" s="50">
        <v>4</v>
      </c>
      <c r="J89" s="50">
        <v>4</v>
      </c>
      <c r="K89" s="50">
        <v>4</v>
      </c>
      <c r="L89" s="50">
        <v>4</v>
      </c>
      <c r="M89" s="50">
        <v>4</v>
      </c>
      <c r="N89" s="50">
        <v>4</v>
      </c>
    </row>
    <row r="90" spans="1:14" x14ac:dyDescent="0.25">
      <c r="A90" s="46" t="s">
        <v>89</v>
      </c>
      <c r="B90" s="46" t="s">
        <v>90</v>
      </c>
      <c r="C90" s="50">
        <v>2</v>
      </c>
      <c r="D90" s="50">
        <v>2</v>
      </c>
      <c r="E90" s="50">
        <v>2</v>
      </c>
      <c r="F90" s="50">
        <v>2</v>
      </c>
      <c r="G90" s="50">
        <v>2</v>
      </c>
      <c r="H90" s="50">
        <v>5</v>
      </c>
      <c r="I90" s="50">
        <v>4</v>
      </c>
      <c r="J90" s="50">
        <v>3</v>
      </c>
      <c r="K90" s="50">
        <v>4</v>
      </c>
      <c r="L90" s="50">
        <v>3</v>
      </c>
      <c r="M90" s="50">
        <v>3</v>
      </c>
      <c r="N90" s="50">
        <v>3</v>
      </c>
    </row>
    <row r="91" spans="1:14" x14ac:dyDescent="0.25">
      <c r="A91" s="46" t="s">
        <v>186</v>
      </c>
      <c r="B91" s="46" t="s">
        <v>187</v>
      </c>
      <c r="C91" s="50">
        <v>3</v>
      </c>
      <c r="D91" s="50">
        <v>3</v>
      </c>
      <c r="E91" s="50">
        <v>3</v>
      </c>
      <c r="F91" s="50">
        <v>3</v>
      </c>
      <c r="G91" s="50">
        <v>3</v>
      </c>
      <c r="H91" s="50">
        <v>5</v>
      </c>
      <c r="I91" s="50">
        <v>4</v>
      </c>
      <c r="J91" s="50">
        <v>4</v>
      </c>
      <c r="K91" s="50">
        <v>4</v>
      </c>
      <c r="L91" s="50">
        <v>4</v>
      </c>
      <c r="M91" s="50">
        <v>4</v>
      </c>
      <c r="N91" s="50">
        <v>4</v>
      </c>
    </row>
    <row r="92" spans="1:14" x14ac:dyDescent="0.25">
      <c r="A92" s="46" t="s">
        <v>188</v>
      </c>
      <c r="B92" s="46" t="s">
        <v>189</v>
      </c>
      <c r="C92" s="50">
        <v>3</v>
      </c>
      <c r="D92" s="50">
        <v>3</v>
      </c>
      <c r="E92" s="50">
        <v>3</v>
      </c>
      <c r="F92" s="50">
        <v>3</v>
      </c>
      <c r="G92" s="50">
        <v>3</v>
      </c>
      <c r="H92" s="50">
        <v>5</v>
      </c>
      <c r="I92" s="50">
        <v>4</v>
      </c>
      <c r="J92" s="50">
        <v>4</v>
      </c>
      <c r="K92" s="50">
        <v>4</v>
      </c>
      <c r="L92" s="50">
        <v>4</v>
      </c>
      <c r="M92" s="50">
        <v>4</v>
      </c>
      <c r="N92" s="50">
        <v>4</v>
      </c>
    </row>
    <row r="93" spans="1:14" x14ac:dyDescent="0.25">
      <c r="A93" s="46" t="s">
        <v>190</v>
      </c>
      <c r="B93" s="46" t="s">
        <v>191</v>
      </c>
      <c r="C93" s="50">
        <v>3</v>
      </c>
      <c r="D93" s="50">
        <v>3</v>
      </c>
      <c r="E93" s="50">
        <v>3</v>
      </c>
      <c r="F93" s="50">
        <v>3</v>
      </c>
      <c r="G93" s="50">
        <v>3</v>
      </c>
      <c r="H93" s="50">
        <v>5</v>
      </c>
      <c r="I93" s="50">
        <v>4</v>
      </c>
      <c r="J93" s="50">
        <v>4</v>
      </c>
      <c r="K93" s="50">
        <v>4</v>
      </c>
      <c r="L93" s="50">
        <v>4</v>
      </c>
      <c r="M93" s="50">
        <v>4</v>
      </c>
      <c r="N93" s="50">
        <v>4</v>
      </c>
    </row>
    <row r="94" spans="1:14" x14ac:dyDescent="0.25">
      <c r="A94" s="46" t="s">
        <v>120</v>
      </c>
      <c r="B94" s="46" t="s">
        <v>121</v>
      </c>
      <c r="C94" s="50">
        <v>2</v>
      </c>
      <c r="D94" s="50">
        <v>2</v>
      </c>
      <c r="E94" s="50">
        <v>1</v>
      </c>
      <c r="F94" s="50">
        <v>1</v>
      </c>
      <c r="G94" s="50">
        <v>1</v>
      </c>
      <c r="H94" s="50">
        <v>5</v>
      </c>
      <c r="I94" s="50">
        <v>3</v>
      </c>
      <c r="J94" s="50">
        <v>3</v>
      </c>
      <c r="K94" s="50">
        <v>3</v>
      </c>
      <c r="L94" s="50">
        <v>3</v>
      </c>
      <c r="M94" s="50">
        <v>4</v>
      </c>
      <c r="N94" s="50">
        <v>4</v>
      </c>
    </row>
    <row r="95" spans="1:14" x14ac:dyDescent="0.25">
      <c r="A95" s="46" t="s">
        <v>192</v>
      </c>
      <c r="B95" s="46" t="s">
        <v>193</v>
      </c>
      <c r="C95" s="50">
        <v>2</v>
      </c>
      <c r="D95" s="50">
        <v>2</v>
      </c>
      <c r="E95" s="50">
        <v>1</v>
      </c>
      <c r="F95" s="50">
        <v>1</v>
      </c>
      <c r="G95" s="50">
        <v>1</v>
      </c>
      <c r="H95" s="50">
        <v>5</v>
      </c>
      <c r="I95" s="50">
        <v>3</v>
      </c>
      <c r="J95" s="50">
        <v>3</v>
      </c>
      <c r="K95" s="50">
        <v>3</v>
      </c>
      <c r="L95" s="50">
        <v>3</v>
      </c>
      <c r="M95" s="50">
        <v>3</v>
      </c>
      <c r="N95" s="50">
        <v>3</v>
      </c>
    </row>
    <row r="96" spans="1:14" x14ac:dyDescent="0.25">
      <c r="A96" s="46" t="s">
        <v>122</v>
      </c>
      <c r="B96" s="46" t="s">
        <v>123</v>
      </c>
      <c r="C96" s="50">
        <v>2</v>
      </c>
      <c r="D96" s="50">
        <v>2</v>
      </c>
      <c r="E96" s="50">
        <v>2</v>
      </c>
      <c r="F96" s="50">
        <v>2</v>
      </c>
      <c r="G96" s="50">
        <v>2</v>
      </c>
      <c r="H96" s="50">
        <v>5</v>
      </c>
      <c r="I96" s="50">
        <v>3</v>
      </c>
      <c r="J96" s="50">
        <v>3</v>
      </c>
      <c r="K96" s="50">
        <v>4</v>
      </c>
      <c r="L96" s="50">
        <v>3</v>
      </c>
      <c r="M96" s="50">
        <v>3</v>
      </c>
      <c r="N96" s="50">
        <v>4</v>
      </c>
    </row>
    <row r="97" spans="1:14" x14ac:dyDescent="0.25">
      <c r="A97" s="46" t="s">
        <v>194</v>
      </c>
      <c r="B97" s="46" t="s">
        <v>195</v>
      </c>
      <c r="C97" s="50">
        <v>2</v>
      </c>
      <c r="D97" s="50">
        <v>2</v>
      </c>
      <c r="E97" s="50">
        <v>2</v>
      </c>
      <c r="F97" s="50">
        <v>2</v>
      </c>
      <c r="G97" s="50">
        <v>2</v>
      </c>
      <c r="H97" s="50">
        <v>5</v>
      </c>
      <c r="I97" s="50">
        <v>4</v>
      </c>
      <c r="J97" s="50">
        <v>4</v>
      </c>
      <c r="K97" s="50">
        <v>4</v>
      </c>
      <c r="L97" s="50">
        <v>3</v>
      </c>
      <c r="M97" s="50">
        <v>4</v>
      </c>
      <c r="N97" s="50">
        <v>4</v>
      </c>
    </row>
    <row r="98" spans="1:14" x14ac:dyDescent="0.25">
      <c r="A98" s="46" t="s">
        <v>196</v>
      </c>
      <c r="B98" s="46" t="s">
        <v>197</v>
      </c>
      <c r="C98" s="50">
        <v>2</v>
      </c>
      <c r="D98" s="50">
        <v>2</v>
      </c>
      <c r="E98" s="50">
        <v>2</v>
      </c>
      <c r="F98" s="50">
        <v>2</v>
      </c>
      <c r="G98" s="50">
        <v>2</v>
      </c>
      <c r="H98" s="50">
        <v>5</v>
      </c>
      <c r="I98" s="50">
        <v>4</v>
      </c>
      <c r="J98" s="50">
        <v>4</v>
      </c>
      <c r="K98" s="50">
        <v>4</v>
      </c>
      <c r="L98" s="50">
        <v>3</v>
      </c>
      <c r="M98" s="50">
        <v>4</v>
      </c>
      <c r="N98" s="50">
        <v>4</v>
      </c>
    </row>
    <row r="99" spans="1:14" x14ac:dyDescent="0.25">
      <c r="A99" s="46" t="s">
        <v>91</v>
      </c>
      <c r="B99" s="46" t="s">
        <v>92</v>
      </c>
      <c r="C99" s="50">
        <v>3</v>
      </c>
      <c r="D99" s="50">
        <v>3</v>
      </c>
      <c r="E99" s="50">
        <v>3</v>
      </c>
      <c r="F99" s="50">
        <v>3</v>
      </c>
      <c r="G99" s="50">
        <v>3</v>
      </c>
      <c r="H99" s="50">
        <v>5</v>
      </c>
      <c r="I99" s="50">
        <v>4</v>
      </c>
      <c r="J99" s="50">
        <v>4</v>
      </c>
      <c r="K99" s="50">
        <v>4</v>
      </c>
      <c r="L99" s="50">
        <v>4</v>
      </c>
      <c r="M99" s="50">
        <v>4</v>
      </c>
      <c r="N99" s="50">
        <v>4</v>
      </c>
    </row>
    <row r="100" spans="1:14" x14ac:dyDescent="0.25">
      <c r="A100" s="46" t="s">
        <v>15</v>
      </c>
      <c r="B100" s="46" t="s">
        <v>124</v>
      </c>
      <c r="C100" s="50">
        <v>4</v>
      </c>
      <c r="D100" s="50">
        <v>1</v>
      </c>
      <c r="E100" s="50">
        <v>1</v>
      </c>
      <c r="F100" s="50">
        <v>1</v>
      </c>
      <c r="G100" s="50">
        <v>1</v>
      </c>
      <c r="H100" s="50">
        <v>3</v>
      </c>
      <c r="I100" s="50">
        <v>1</v>
      </c>
      <c r="J100" s="50">
        <v>1</v>
      </c>
      <c r="K100" s="50">
        <v>5</v>
      </c>
      <c r="L100" s="50">
        <v>1</v>
      </c>
      <c r="M100" s="50">
        <v>1</v>
      </c>
      <c r="N100" s="50">
        <v>1</v>
      </c>
    </row>
    <row r="101" spans="1:14" x14ac:dyDescent="0.25">
      <c r="A101" s="46" t="s">
        <v>16</v>
      </c>
      <c r="B101" s="46" t="s">
        <v>40</v>
      </c>
      <c r="C101" s="50">
        <v>3</v>
      </c>
      <c r="D101" s="50">
        <v>3</v>
      </c>
      <c r="E101" s="50">
        <v>3</v>
      </c>
      <c r="F101" s="50">
        <v>3</v>
      </c>
      <c r="G101" s="50">
        <v>3</v>
      </c>
      <c r="H101" s="50">
        <v>5</v>
      </c>
      <c r="I101" s="50">
        <v>5</v>
      </c>
      <c r="J101" s="50">
        <v>4</v>
      </c>
      <c r="K101" s="50">
        <v>4</v>
      </c>
      <c r="L101" s="50">
        <v>4</v>
      </c>
      <c r="M101" s="50">
        <v>4</v>
      </c>
      <c r="N101" s="50">
        <v>4</v>
      </c>
    </row>
    <row r="102" spans="1:14" x14ac:dyDescent="0.25">
      <c r="A102" s="46" t="s">
        <v>17</v>
      </c>
      <c r="B102" s="46" t="s">
        <v>41</v>
      </c>
      <c r="C102" s="50">
        <v>3</v>
      </c>
      <c r="D102" s="50">
        <v>3</v>
      </c>
      <c r="E102" s="50">
        <v>3</v>
      </c>
      <c r="F102" s="50">
        <v>3</v>
      </c>
      <c r="G102" s="50">
        <v>3</v>
      </c>
      <c r="H102" s="50">
        <v>5</v>
      </c>
      <c r="I102" s="50">
        <v>5</v>
      </c>
      <c r="J102" s="50">
        <v>4</v>
      </c>
      <c r="K102" s="50">
        <v>4</v>
      </c>
      <c r="L102" s="50">
        <v>4</v>
      </c>
      <c r="M102" s="50">
        <v>4</v>
      </c>
      <c r="N102" s="50">
        <v>4</v>
      </c>
    </row>
    <row r="103" spans="1:14" x14ac:dyDescent="0.25">
      <c r="A103" s="46" t="s">
        <v>18</v>
      </c>
      <c r="B103" s="46" t="s">
        <v>42</v>
      </c>
      <c r="C103" s="50">
        <v>3</v>
      </c>
      <c r="D103" s="50">
        <v>3</v>
      </c>
      <c r="E103" s="50">
        <v>3</v>
      </c>
      <c r="F103" s="50">
        <v>3</v>
      </c>
      <c r="G103" s="50">
        <v>3</v>
      </c>
      <c r="H103" s="50">
        <v>5</v>
      </c>
      <c r="I103" s="50">
        <v>5</v>
      </c>
      <c r="J103" s="50">
        <v>4</v>
      </c>
      <c r="K103" s="50">
        <v>4</v>
      </c>
      <c r="L103" s="50">
        <v>4</v>
      </c>
      <c r="M103" s="50">
        <v>4</v>
      </c>
      <c r="N103" s="50">
        <v>4</v>
      </c>
    </row>
    <row r="104" spans="1:14" x14ac:dyDescent="0.25">
      <c r="A104" s="46" t="s">
        <v>19</v>
      </c>
      <c r="B104" s="46" t="s">
        <v>43</v>
      </c>
      <c r="C104" s="50">
        <v>3</v>
      </c>
      <c r="D104" s="50">
        <v>3</v>
      </c>
      <c r="E104" s="50">
        <v>3</v>
      </c>
      <c r="F104" s="50">
        <v>3</v>
      </c>
      <c r="G104" s="50">
        <v>3</v>
      </c>
      <c r="H104" s="50">
        <v>5</v>
      </c>
      <c r="I104" s="50">
        <v>5</v>
      </c>
      <c r="J104" s="50">
        <v>4</v>
      </c>
      <c r="K104" s="50">
        <v>4</v>
      </c>
      <c r="L104" s="50">
        <v>4</v>
      </c>
      <c r="M104" s="50">
        <v>4</v>
      </c>
      <c r="N104" s="50">
        <v>4</v>
      </c>
    </row>
    <row r="105" spans="1:14" x14ac:dyDescent="0.25">
      <c r="A105" s="46" t="s">
        <v>20</v>
      </c>
      <c r="B105" s="46" t="s">
        <v>44</v>
      </c>
      <c r="C105" s="50">
        <v>3</v>
      </c>
      <c r="D105" s="50">
        <v>3</v>
      </c>
      <c r="E105" s="50">
        <v>3</v>
      </c>
      <c r="F105" s="50">
        <v>3</v>
      </c>
      <c r="G105" s="50">
        <v>3</v>
      </c>
      <c r="H105" s="50">
        <v>5</v>
      </c>
      <c r="I105" s="50">
        <v>5</v>
      </c>
      <c r="J105" s="50">
        <v>4</v>
      </c>
      <c r="K105" s="50">
        <v>4</v>
      </c>
      <c r="L105" s="50">
        <v>4</v>
      </c>
      <c r="M105" s="50">
        <v>4</v>
      </c>
      <c r="N105" s="50">
        <v>4</v>
      </c>
    </row>
    <row r="106" spans="1:14" x14ac:dyDescent="0.25">
      <c r="A106" s="46" t="s">
        <v>77</v>
      </c>
      <c r="B106" s="46" t="s">
        <v>40</v>
      </c>
      <c r="C106" s="50">
        <v>3</v>
      </c>
      <c r="D106" s="50">
        <v>3</v>
      </c>
      <c r="E106" s="50">
        <v>3</v>
      </c>
      <c r="F106" s="50">
        <v>3</v>
      </c>
      <c r="G106" s="50">
        <v>3</v>
      </c>
      <c r="H106" s="50">
        <v>5</v>
      </c>
      <c r="I106" s="50">
        <v>4</v>
      </c>
      <c r="J106" s="50">
        <v>4</v>
      </c>
      <c r="K106" s="50">
        <v>4</v>
      </c>
      <c r="L106" s="50">
        <v>4</v>
      </c>
      <c r="M106" s="50">
        <v>4</v>
      </c>
      <c r="N106" s="50">
        <v>4</v>
      </c>
    </row>
    <row r="107" spans="1:14" x14ac:dyDescent="0.25">
      <c r="A107" s="46" t="s">
        <v>72</v>
      </c>
      <c r="B107" s="46" t="s">
        <v>73</v>
      </c>
      <c r="C107" s="50">
        <v>3</v>
      </c>
      <c r="D107" s="50">
        <v>3</v>
      </c>
      <c r="E107" s="50">
        <v>3</v>
      </c>
      <c r="F107" s="50">
        <v>3</v>
      </c>
      <c r="G107" s="50">
        <v>3</v>
      </c>
      <c r="H107" s="50">
        <v>5</v>
      </c>
      <c r="I107" s="50">
        <v>4</v>
      </c>
      <c r="J107" s="50">
        <v>4</v>
      </c>
      <c r="K107" s="50">
        <v>4</v>
      </c>
      <c r="L107" s="50">
        <v>4</v>
      </c>
      <c r="M107" s="50">
        <v>4</v>
      </c>
      <c r="N107" s="50">
        <v>4</v>
      </c>
    </row>
    <row r="108" spans="1:14" x14ac:dyDescent="0.25">
      <c r="A108" s="46" t="s">
        <v>93</v>
      </c>
      <c r="B108" s="46" t="s">
        <v>94</v>
      </c>
      <c r="C108" s="50">
        <v>1</v>
      </c>
      <c r="D108" s="50">
        <v>1</v>
      </c>
      <c r="E108" s="50">
        <v>1</v>
      </c>
      <c r="F108" s="50">
        <v>1</v>
      </c>
      <c r="G108" s="50">
        <v>1</v>
      </c>
      <c r="H108" s="50">
        <v>5</v>
      </c>
      <c r="I108" s="50">
        <v>2</v>
      </c>
      <c r="J108" s="50">
        <v>1</v>
      </c>
      <c r="K108" s="50">
        <v>1</v>
      </c>
      <c r="L108" s="50">
        <v>1</v>
      </c>
      <c r="M108" s="50">
        <v>4</v>
      </c>
      <c r="N108" s="50">
        <v>2</v>
      </c>
    </row>
    <row r="109" spans="1:14" x14ac:dyDescent="0.25">
      <c r="A109" s="46" t="s">
        <v>66</v>
      </c>
      <c r="B109" s="46" t="s">
        <v>67</v>
      </c>
      <c r="C109" s="50">
        <v>2</v>
      </c>
      <c r="D109" s="50">
        <v>2</v>
      </c>
      <c r="E109" s="50">
        <v>2</v>
      </c>
      <c r="F109" s="50">
        <v>2</v>
      </c>
      <c r="G109" s="50">
        <v>2</v>
      </c>
      <c r="H109" s="50">
        <v>5</v>
      </c>
      <c r="I109" s="50">
        <v>4</v>
      </c>
      <c r="J109" s="50">
        <v>3</v>
      </c>
      <c r="K109" s="50">
        <v>3</v>
      </c>
      <c r="L109" s="50">
        <v>3</v>
      </c>
      <c r="M109" s="50">
        <v>4</v>
      </c>
      <c r="N109" s="50">
        <v>4</v>
      </c>
    </row>
    <row r="110" spans="1:14" x14ac:dyDescent="0.25">
      <c r="A110" s="46" t="s">
        <v>125</v>
      </c>
      <c r="B110" s="46" t="s">
        <v>126</v>
      </c>
      <c r="C110" s="50">
        <v>4</v>
      </c>
      <c r="D110" s="50">
        <v>3</v>
      </c>
      <c r="E110" s="50">
        <v>3</v>
      </c>
      <c r="F110" s="50">
        <v>3</v>
      </c>
      <c r="G110" s="50">
        <v>3</v>
      </c>
      <c r="H110" s="50">
        <v>5</v>
      </c>
      <c r="I110" s="50">
        <v>4</v>
      </c>
      <c r="J110" s="50">
        <v>3</v>
      </c>
      <c r="K110" s="50">
        <v>4</v>
      </c>
      <c r="L110" s="50">
        <v>3</v>
      </c>
      <c r="M110" s="50">
        <v>4</v>
      </c>
      <c r="N110" s="50">
        <v>4</v>
      </c>
    </row>
    <row r="111" spans="1:14" x14ac:dyDescent="0.25">
      <c r="A111" s="46" t="s">
        <v>198</v>
      </c>
      <c r="B111" s="46" t="s">
        <v>199</v>
      </c>
      <c r="C111" s="50">
        <v>3</v>
      </c>
      <c r="D111" s="50">
        <v>3</v>
      </c>
      <c r="E111" s="50">
        <v>3</v>
      </c>
      <c r="F111" s="50">
        <v>3</v>
      </c>
      <c r="G111" s="50">
        <v>3</v>
      </c>
      <c r="H111" s="50">
        <v>5</v>
      </c>
      <c r="I111" s="50">
        <v>4</v>
      </c>
      <c r="J111" s="50">
        <v>4</v>
      </c>
      <c r="K111" s="50">
        <v>4</v>
      </c>
      <c r="L111" s="50">
        <v>4</v>
      </c>
      <c r="M111" s="50">
        <v>4</v>
      </c>
      <c r="N111" s="50">
        <v>4</v>
      </c>
    </row>
    <row r="112" spans="1:14" x14ac:dyDescent="0.25">
      <c r="A112" s="46" t="s">
        <v>200</v>
      </c>
      <c r="B112" s="46" t="s">
        <v>201</v>
      </c>
      <c r="C112" s="50">
        <v>3</v>
      </c>
      <c r="D112" s="50">
        <v>3</v>
      </c>
      <c r="E112" s="50">
        <v>3</v>
      </c>
      <c r="F112" s="50">
        <v>3</v>
      </c>
      <c r="G112" s="50">
        <v>3</v>
      </c>
      <c r="H112" s="50">
        <v>5</v>
      </c>
      <c r="I112" s="50">
        <v>4</v>
      </c>
      <c r="J112" s="50">
        <v>4</v>
      </c>
      <c r="K112" s="50">
        <v>4</v>
      </c>
      <c r="L112" s="50">
        <v>4</v>
      </c>
      <c r="M112" s="50">
        <v>4</v>
      </c>
      <c r="N112" s="50">
        <v>4</v>
      </c>
    </row>
    <row r="113" spans="1:14" x14ac:dyDescent="0.25">
      <c r="A113" s="46" t="s">
        <v>21</v>
      </c>
      <c r="B113" s="46" t="s">
        <v>45</v>
      </c>
      <c r="C113" s="50">
        <v>3</v>
      </c>
      <c r="D113" s="50">
        <v>3</v>
      </c>
      <c r="E113" s="50">
        <v>3</v>
      </c>
      <c r="F113" s="50">
        <v>3</v>
      </c>
      <c r="G113" s="50">
        <v>3</v>
      </c>
      <c r="H113" s="50">
        <v>5</v>
      </c>
      <c r="I113" s="50">
        <v>4</v>
      </c>
      <c r="J113" s="50">
        <v>4</v>
      </c>
      <c r="K113" s="50">
        <v>4</v>
      </c>
      <c r="L113" s="50">
        <v>4</v>
      </c>
      <c r="M113" s="50">
        <v>4</v>
      </c>
      <c r="N113" s="50">
        <v>4</v>
      </c>
    </row>
    <row r="114" spans="1:14" x14ac:dyDescent="0.25">
      <c r="A114" s="46" t="s">
        <v>127</v>
      </c>
      <c r="B114" s="46" t="s">
        <v>128</v>
      </c>
      <c r="C114" s="50">
        <v>2</v>
      </c>
      <c r="D114" s="50">
        <v>2</v>
      </c>
      <c r="E114" s="50">
        <v>2</v>
      </c>
      <c r="F114" s="50">
        <v>2</v>
      </c>
      <c r="G114" s="50">
        <v>2</v>
      </c>
      <c r="H114" s="50">
        <v>5</v>
      </c>
      <c r="I114" s="50">
        <v>3</v>
      </c>
      <c r="J114" s="50">
        <v>3</v>
      </c>
      <c r="K114" s="50">
        <v>3</v>
      </c>
      <c r="L114" s="50">
        <v>3</v>
      </c>
      <c r="M114" s="50">
        <v>3</v>
      </c>
      <c r="N114" s="50">
        <v>4</v>
      </c>
    </row>
    <row r="115" spans="1:14" x14ac:dyDescent="0.25">
      <c r="A115" s="46" t="s">
        <v>129</v>
      </c>
      <c r="B115" s="46" t="s">
        <v>130</v>
      </c>
      <c r="C115" s="50">
        <v>3</v>
      </c>
      <c r="D115" s="50">
        <v>3</v>
      </c>
      <c r="E115" s="50">
        <v>3</v>
      </c>
      <c r="F115" s="50">
        <v>3</v>
      </c>
      <c r="G115" s="50">
        <v>3</v>
      </c>
      <c r="H115" s="50">
        <v>5</v>
      </c>
      <c r="I115" s="50">
        <v>5</v>
      </c>
      <c r="J115" s="50">
        <v>4</v>
      </c>
      <c r="K115" s="50">
        <v>4</v>
      </c>
      <c r="L115" s="50">
        <v>4</v>
      </c>
      <c r="M115" s="50">
        <v>4</v>
      </c>
      <c r="N115" s="50">
        <v>4</v>
      </c>
    </row>
    <row r="116" spans="1:14" x14ac:dyDescent="0.25">
      <c r="A116" s="46" t="s">
        <v>131</v>
      </c>
      <c r="B116" s="46" t="s">
        <v>132</v>
      </c>
      <c r="C116" s="50">
        <v>3</v>
      </c>
      <c r="D116" s="50">
        <v>3</v>
      </c>
      <c r="E116" s="50">
        <v>3</v>
      </c>
      <c r="F116" s="50">
        <v>3</v>
      </c>
      <c r="G116" s="50">
        <v>3</v>
      </c>
      <c r="H116" s="50">
        <v>5</v>
      </c>
      <c r="I116" s="50">
        <v>4</v>
      </c>
      <c r="J116" s="50">
        <v>3</v>
      </c>
      <c r="K116" s="50">
        <v>3</v>
      </c>
      <c r="L116" s="50">
        <v>3</v>
      </c>
      <c r="M116" s="50">
        <v>4</v>
      </c>
      <c r="N116" s="50">
        <v>4</v>
      </c>
    </row>
    <row r="117" spans="1:14" x14ac:dyDescent="0.25">
      <c r="A117" s="46" t="s">
        <v>133</v>
      </c>
      <c r="B117" s="46" t="s">
        <v>134</v>
      </c>
      <c r="C117" s="50">
        <v>3</v>
      </c>
      <c r="D117" s="50">
        <v>3</v>
      </c>
      <c r="E117" s="50">
        <v>3</v>
      </c>
      <c r="F117" s="50">
        <v>3</v>
      </c>
      <c r="G117" s="50">
        <v>3</v>
      </c>
      <c r="H117" s="50">
        <v>5</v>
      </c>
      <c r="I117" s="50">
        <v>4</v>
      </c>
      <c r="J117" s="50">
        <v>3</v>
      </c>
      <c r="K117" s="50">
        <v>3</v>
      </c>
      <c r="L117" s="50">
        <v>3</v>
      </c>
      <c r="M117" s="50">
        <v>4</v>
      </c>
      <c r="N117" s="50">
        <v>4</v>
      </c>
    </row>
    <row r="118" spans="1:14" x14ac:dyDescent="0.25">
      <c r="A118" s="46" t="s">
        <v>135</v>
      </c>
      <c r="B118" s="46" t="s">
        <v>136</v>
      </c>
      <c r="C118" s="50">
        <v>3</v>
      </c>
      <c r="D118" s="50">
        <v>3</v>
      </c>
      <c r="E118" s="50">
        <v>3</v>
      </c>
      <c r="F118" s="50">
        <v>3</v>
      </c>
      <c r="G118" s="50">
        <v>3</v>
      </c>
      <c r="H118" s="50">
        <v>5</v>
      </c>
      <c r="I118" s="50">
        <v>4</v>
      </c>
      <c r="J118" s="50">
        <v>3</v>
      </c>
      <c r="K118" s="50">
        <v>3</v>
      </c>
      <c r="L118" s="50">
        <v>3</v>
      </c>
      <c r="M118" s="50">
        <v>4</v>
      </c>
      <c r="N118" s="50">
        <v>4</v>
      </c>
    </row>
    <row r="119" spans="1:14" x14ac:dyDescent="0.25">
      <c r="A119" s="46" t="s">
        <v>202</v>
      </c>
      <c r="B119" s="46" t="s">
        <v>203</v>
      </c>
      <c r="C119" s="50">
        <v>3</v>
      </c>
      <c r="D119" s="50">
        <v>3</v>
      </c>
      <c r="E119" s="50">
        <v>3</v>
      </c>
      <c r="F119" s="50">
        <v>3</v>
      </c>
      <c r="G119" s="50">
        <v>3</v>
      </c>
      <c r="H119" s="50">
        <v>5</v>
      </c>
      <c r="I119" s="50">
        <v>4</v>
      </c>
      <c r="J119" s="50">
        <v>3</v>
      </c>
      <c r="K119" s="50">
        <v>3</v>
      </c>
      <c r="L119" s="50">
        <v>3</v>
      </c>
      <c r="M119" s="50">
        <v>4</v>
      </c>
      <c r="N119" s="50">
        <v>4</v>
      </c>
    </row>
    <row r="120" spans="1:14" x14ac:dyDescent="0.25">
      <c r="A120" s="46" t="s">
        <v>204</v>
      </c>
      <c r="B120" s="46" t="s">
        <v>205</v>
      </c>
      <c r="C120" s="50">
        <v>3</v>
      </c>
      <c r="D120" s="50">
        <v>3</v>
      </c>
      <c r="E120" s="50">
        <v>3</v>
      </c>
      <c r="F120" s="50">
        <v>3</v>
      </c>
      <c r="G120" s="50">
        <v>3</v>
      </c>
      <c r="H120" s="50">
        <v>5</v>
      </c>
      <c r="I120" s="50">
        <v>4</v>
      </c>
      <c r="J120" s="50">
        <v>3</v>
      </c>
      <c r="K120" s="50">
        <v>3</v>
      </c>
      <c r="L120" s="50">
        <v>3</v>
      </c>
      <c r="M120" s="50">
        <v>4</v>
      </c>
      <c r="N120" s="50">
        <v>4</v>
      </c>
    </row>
    <row r="121" spans="1:14" x14ac:dyDescent="0.25">
      <c r="A121" s="46" t="s">
        <v>206</v>
      </c>
      <c r="B121" s="46" t="s">
        <v>207</v>
      </c>
      <c r="C121" s="50">
        <v>3</v>
      </c>
      <c r="D121" s="50">
        <v>3</v>
      </c>
      <c r="E121" s="50">
        <v>3</v>
      </c>
      <c r="F121" s="50">
        <v>3</v>
      </c>
      <c r="G121" s="50">
        <v>3</v>
      </c>
      <c r="H121" s="50">
        <v>5</v>
      </c>
      <c r="I121" s="50">
        <v>4</v>
      </c>
      <c r="J121" s="50">
        <v>4</v>
      </c>
      <c r="K121" s="50">
        <v>4</v>
      </c>
      <c r="L121" s="50">
        <v>4</v>
      </c>
      <c r="M121" s="50">
        <v>4</v>
      </c>
      <c r="N121" s="50">
        <v>4</v>
      </c>
    </row>
    <row r="122" spans="1:14" x14ac:dyDescent="0.25">
      <c r="A122" s="46" t="s">
        <v>208</v>
      </c>
      <c r="B122" s="46" t="s">
        <v>209</v>
      </c>
      <c r="C122" s="50">
        <v>3</v>
      </c>
      <c r="D122" s="50">
        <v>3</v>
      </c>
      <c r="E122" s="50">
        <v>3</v>
      </c>
      <c r="F122" s="50">
        <v>3</v>
      </c>
      <c r="G122" s="50">
        <v>3</v>
      </c>
      <c r="H122" s="50">
        <v>5</v>
      </c>
      <c r="I122" s="50">
        <v>4</v>
      </c>
      <c r="J122" s="50">
        <v>4</v>
      </c>
      <c r="K122" s="50">
        <v>4</v>
      </c>
      <c r="L122" s="50">
        <v>4</v>
      </c>
      <c r="M122" s="50">
        <v>4</v>
      </c>
      <c r="N122" s="50">
        <v>4</v>
      </c>
    </row>
    <row r="123" spans="1:14" x14ac:dyDescent="0.25">
      <c r="A123" s="46" t="s">
        <v>210</v>
      </c>
      <c r="B123" s="46" t="s">
        <v>211</v>
      </c>
      <c r="C123" s="50">
        <v>3</v>
      </c>
      <c r="D123" s="50">
        <v>3</v>
      </c>
      <c r="E123" s="50">
        <v>3</v>
      </c>
      <c r="F123" s="50">
        <v>3</v>
      </c>
      <c r="G123" s="50">
        <v>3</v>
      </c>
      <c r="H123" s="50">
        <v>5</v>
      </c>
      <c r="I123" s="50">
        <v>4</v>
      </c>
      <c r="J123" s="50">
        <v>4</v>
      </c>
      <c r="K123" s="50">
        <v>4</v>
      </c>
      <c r="L123" s="50">
        <v>4</v>
      </c>
      <c r="M123" s="50">
        <v>4</v>
      </c>
      <c r="N123" s="50">
        <v>4</v>
      </c>
    </row>
    <row r="124" spans="1:14" x14ac:dyDescent="0.25">
      <c r="A124" s="46" t="s">
        <v>95</v>
      </c>
      <c r="B124" s="46" t="s">
        <v>96</v>
      </c>
      <c r="C124" s="50">
        <v>2</v>
      </c>
      <c r="D124" s="50">
        <v>2</v>
      </c>
      <c r="E124" s="50">
        <v>2</v>
      </c>
      <c r="F124" s="50">
        <v>2</v>
      </c>
      <c r="G124" s="50">
        <v>2</v>
      </c>
      <c r="H124" s="50">
        <v>5</v>
      </c>
      <c r="I124" s="50">
        <v>3</v>
      </c>
      <c r="J124" s="50">
        <v>3</v>
      </c>
      <c r="K124" s="50">
        <v>3</v>
      </c>
      <c r="L124" s="50">
        <v>3</v>
      </c>
      <c r="M124" s="50">
        <v>4</v>
      </c>
      <c r="N124" s="50">
        <v>4</v>
      </c>
    </row>
    <row r="125" spans="1:14" x14ac:dyDescent="0.25">
      <c r="A125" s="46" t="s">
        <v>212</v>
      </c>
      <c r="B125" s="46" t="s">
        <v>213</v>
      </c>
      <c r="C125" s="50">
        <v>2</v>
      </c>
      <c r="D125" s="50">
        <v>2</v>
      </c>
      <c r="E125" s="50">
        <v>2</v>
      </c>
      <c r="F125" s="50">
        <v>2</v>
      </c>
      <c r="G125" s="50">
        <v>2</v>
      </c>
      <c r="H125" s="50">
        <v>5</v>
      </c>
      <c r="I125" s="50">
        <v>4</v>
      </c>
      <c r="J125" s="50">
        <v>3</v>
      </c>
      <c r="K125" s="50">
        <v>4</v>
      </c>
      <c r="L125" s="50">
        <v>3</v>
      </c>
      <c r="M125" s="50">
        <v>4</v>
      </c>
      <c r="N125" s="50">
        <v>4</v>
      </c>
    </row>
    <row r="126" spans="1:14" x14ac:dyDescent="0.25">
      <c r="A126" s="46" t="s">
        <v>137</v>
      </c>
      <c r="B126" s="46" t="s">
        <v>138</v>
      </c>
      <c r="C126" s="50">
        <v>2</v>
      </c>
      <c r="D126" s="50">
        <v>2</v>
      </c>
      <c r="E126" s="50">
        <v>1</v>
      </c>
      <c r="F126" s="50">
        <v>1</v>
      </c>
      <c r="G126" s="50">
        <v>1</v>
      </c>
      <c r="H126" s="50">
        <v>5</v>
      </c>
      <c r="I126" s="50">
        <v>3</v>
      </c>
      <c r="J126" s="50">
        <v>3</v>
      </c>
      <c r="K126" s="50">
        <v>3</v>
      </c>
      <c r="L126" s="50">
        <v>3</v>
      </c>
      <c r="M126" s="50">
        <v>4</v>
      </c>
      <c r="N126" s="50">
        <v>4</v>
      </c>
    </row>
    <row r="127" spans="1:14" x14ac:dyDescent="0.25">
      <c r="A127" s="46" t="s">
        <v>214</v>
      </c>
      <c r="B127" s="46" t="s">
        <v>215</v>
      </c>
      <c r="C127" s="50">
        <v>1</v>
      </c>
      <c r="D127" s="50">
        <v>1</v>
      </c>
      <c r="E127" s="50">
        <v>1</v>
      </c>
      <c r="F127" s="50">
        <v>1</v>
      </c>
      <c r="G127" s="50">
        <v>1</v>
      </c>
      <c r="H127" s="50">
        <v>1</v>
      </c>
      <c r="I127" s="50">
        <v>1</v>
      </c>
      <c r="J127" s="50">
        <v>1</v>
      </c>
      <c r="K127" s="50">
        <v>5</v>
      </c>
      <c r="L127" s="50">
        <v>1</v>
      </c>
      <c r="M127" s="50">
        <v>1</v>
      </c>
      <c r="N127" s="50">
        <v>1</v>
      </c>
    </row>
    <row r="128" spans="1:14" x14ac:dyDescent="0.25">
      <c r="A128" s="46" t="s">
        <v>139</v>
      </c>
      <c r="B128" s="46" t="s">
        <v>140</v>
      </c>
      <c r="C128" s="50">
        <v>5</v>
      </c>
      <c r="D128" s="50">
        <v>5</v>
      </c>
      <c r="E128" s="50">
        <v>5</v>
      </c>
      <c r="F128" s="50">
        <v>3</v>
      </c>
      <c r="G128" s="50">
        <v>3</v>
      </c>
      <c r="H128" s="50">
        <v>5</v>
      </c>
      <c r="I128" s="50">
        <v>5</v>
      </c>
      <c r="J128" s="50">
        <v>1</v>
      </c>
      <c r="K128" s="50">
        <v>1</v>
      </c>
      <c r="L128" s="50">
        <v>1</v>
      </c>
      <c r="M128" s="50">
        <v>3</v>
      </c>
      <c r="N128" s="50">
        <v>3</v>
      </c>
    </row>
    <row r="129" spans="1:14" x14ac:dyDescent="0.25">
      <c r="A129" s="46" t="s">
        <v>69</v>
      </c>
      <c r="B129" s="46" t="s">
        <v>57</v>
      </c>
      <c r="C129" s="50">
        <v>3</v>
      </c>
      <c r="D129" s="50">
        <v>3</v>
      </c>
      <c r="E129" s="50">
        <v>3</v>
      </c>
      <c r="F129" s="50">
        <v>3</v>
      </c>
      <c r="G129" s="50">
        <v>3</v>
      </c>
      <c r="H129" s="50">
        <v>5</v>
      </c>
      <c r="I129" s="50">
        <v>4</v>
      </c>
      <c r="J129" s="50">
        <v>4</v>
      </c>
      <c r="K129" s="50">
        <v>4</v>
      </c>
      <c r="L129" s="50">
        <v>4</v>
      </c>
      <c r="M129" s="50">
        <v>4</v>
      </c>
      <c r="N129" s="50">
        <v>4</v>
      </c>
    </row>
    <row r="130" spans="1:14" x14ac:dyDescent="0.25">
      <c r="A130" s="46" t="s">
        <v>58</v>
      </c>
      <c r="B130" s="46" t="s">
        <v>59</v>
      </c>
      <c r="C130" s="50">
        <v>3</v>
      </c>
      <c r="D130" s="50">
        <v>3</v>
      </c>
      <c r="E130" s="50">
        <v>3</v>
      </c>
      <c r="F130" s="50">
        <v>3</v>
      </c>
      <c r="G130" s="50">
        <v>3</v>
      </c>
      <c r="H130" s="50">
        <v>5</v>
      </c>
      <c r="I130" s="50">
        <v>4</v>
      </c>
      <c r="J130" s="50">
        <v>4</v>
      </c>
      <c r="K130" s="50">
        <v>4</v>
      </c>
      <c r="L130" s="50">
        <v>4</v>
      </c>
      <c r="M130" s="50">
        <v>4</v>
      </c>
      <c r="N130" s="50">
        <v>4</v>
      </c>
    </row>
    <row r="131" spans="1:14" x14ac:dyDescent="0.25">
      <c r="A131" s="46" t="s">
        <v>60</v>
      </c>
      <c r="B131" s="46" t="s">
        <v>61</v>
      </c>
      <c r="C131" s="50">
        <v>3</v>
      </c>
      <c r="D131" s="50">
        <v>3</v>
      </c>
      <c r="E131" s="50">
        <v>3</v>
      </c>
      <c r="F131" s="50">
        <v>3</v>
      </c>
      <c r="G131" s="50">
        <v>3</v>
      </c>
      <c r="H131" s="50">
        <v>5</v>
      </c>
      <c r="I131" s="50">
        <v>4</v>
      </c>
      <c r="J131" s="50">
        <v>4</v>
      </c>
      <c r="K131" s="50">
        <v>4</v>
      </c>
      <c r="L131" s="50">
        <v>4</v>
      </c>
      <c r="M131" s="50">
        <v>4</v>
      </c>
      <c r="N131" s="50">
        <v>4</v>
      </c>
    </row>
    <row r="132" spans="1:14" x14ac:dyDescent="0.25">
      <c r="A132" s="46" t="s">
        <v>62</v>
      </c>
      <c r="B132" s="46" t="s">
        <v>63</v>
      </c>
      <c r="C132" s="50">
        <v>3</v>
      </c>
      <c r="D132" s="50">
        <v>3</v>
      </c>
      <c r="E132" s="50">
        <v>3</v>
      </c>
      <c r="F132" s="50">
        <v>3</v>
      </c>
      <c r="G132" s="50">
        <v>3</v>
      </c>
      <c r="H132" s="50">
        <v>5</v>
      </c>
      <c r="I132" s="50">
        <v>4</v>
      </c>
      <c r="J132" s="50">
        <v>4</v>
      </c>
      <c r="K132" s="50">
        <v>4</v>
      </c>
      <c r="L132" s="50">
        <v>4</v>
      </c>
      <c r="M132" s="50">
        <v>4</v>
      </c>
      <c r="N132" s="50">
        <v>4</v>
      </c>
    </row>
    <row r="133" spans="1:14" x14ac:dyDescent="0.25">
      <c r="A133" s="46" t="s">
        <v>64</v>
      </c>
      <c r="B133" s="46" t="s">
        <v>65</v>
      </c>
      <c r="C133" s="50">
        <v>5</v>
      </c>
      <c r="D133" s="50">
        <v>2</v>
      </c>
      <c r="E133" s="50">
        <v>2</v>
      </c>
      <c r="F133" s="50">
        <v>2</v>
      </c>
      <c r="G133" s="50">
        <v>2</v>
      </c>
      <c r="H133" s="50">
        <v>5</v>
      </c>
      <c r="I133" s="50">
        <v>3</v>
      </c>
      <c r="J133" s="50">
        <v>3</v>
      </c>
      <c r="K133" s="50">
        <v>4</v>
      </c>
      <c r="L133" s="50">
        <v>3</v>
      </c>
      <c r="M133" s="50">
        <v>3</v>
      </c>
      <c r="N133" s="50">
        <v>3</v>
      </c>
    </row>
    <row r="134" spans="1:14" x14ac:dyDescent="0.25">
      <c r="A134" s="46" t="s">
        <v>216</v>
      </c>
      <c r="B134" s="46" t="s">
        <v>217</v>
      </c>
      <c r="C134" s="50">
        <v>3</v>
      </c>
      <c r="D134" s="50">
        <v>3</v>
      </c>
      <c r="E134" s="50">
        <v>3</v>
      </c>
      <c r="F134" s="50">
        <v>3</v>
      </c>
      <c r="G134" s="50">
        <v>3</v>
      </c>
      <c r="H134" s="50">
        <v>5</v>
      </c>
      <c r="I134" s="50">
        <v>4</v>
      </c>
      <c r="J134" s="50">
        <v>4</v>
      </c>
      <c r="K134" s="50">
        <v>4</v>
      </c>
      <c r="L134" s="50">
        <v>4</v>
      </c>
      <c r="M134" s="50">
        <v>4</v>
      </c>
      <c r="N134" s="50">
        <v>4</v>
      </c>
    </row>
    <row r="135" spans="1:14" x14ac:dyDescent="0.25">
      <c r="A135" s="46" t="s">
        <v>218</v>
      </c>
      <c r="B135" s="46" t="s">
        <v>219</v>
      </c>
      <c r="C135" s="50">
        <v>5</v>
      </c>
      <c r="D135" s="50">
        <v>2</v>
      </c>
      <c r="E135" s="50">
        <v>2</v>
      </c>
      <c r="F135" s="50">
        <v>2</v>
      </c>
      <c r="G135" s="50">
        <v>2</v>
      </c>
      <c r="H135" s="50">
        <v>5</v>
      </c>
      <c r="I135" s="50">
        <v>4</v>
      </c>
      <c r="J135" s="50">
        <v>3</v>
      </c>
      <c r="K135" s="50">
        <v>4</v>
      </c>
      <c r="L135" s="50">
        <v>3</v>
      </c>
      <c r="M135" s="50">
        <v>3</v>
      </c>
      <c r="N135" s="50">
        <v>4</v>
      </c>
    </row>
    <row r="136" spans="1:14" x14ac:dyDescent="0.25">
      <c r="A136" s="46" t="s">
        <v>141</v>
      </c>
      <c r="B136" s="46" t="s">
        <v>142</v>
      </c>
      <c r="C136" s="50">
        <v>4</v>
      </c>
      <c r="D136" s="50">
        <v>4</v>
      </c>
      <c r="E136" s="50">
        <v>4</v>
      </c>
      <c r="F136" s="50">
        <v>4</v>
      </c>
      <c r="G136" s="50">
        <v>4</v>
      </c>
      <c r="H136" s="50">
        <v>5</v>
      </c>
      <c r="I136" s="50">
        <v>4</v>
      </c>
      <c r="J136" s="50">
        <v>4</v>
      </c>
      <c r="K136" s="50">
        <v>4</v>
      </c>
      <c r="L136" s="50">
        <v>4</v>
      </c>
      <c r="M136" s="50">
        <v>4</v>
      </c>
      <c r="N136" s="50">
        <v>4</v>
      </c>
    </row>
    <row r="137" spans="1:14" x14ac:dyDescent="0.25">
      <c r="A137" s="46" t="s">
        <v>143</v>
      </c>
      <c r="B137" s="46" t="s">
        <v>144</v>
      </c>
      <c r="C137" s="50">
        <v>4</v>
      </c>
      <c r="D137" s="50">
        <v>4</v>
      </c>
      <c r="E137" s="50">
        <v>4</v>
      </c>
      <c r="F137" s="50">
        <v>4</v>
      </c>
      <c r="G137" s="50">
        <v>4</v>
      </c>
      <c r="H137" s="50">
        <v>5</v>
      </c>
      <c r="I137" s="50">
        <v>4</v>
      </c>
      <c r="J137" s="50">
        <v>4</v>
      </c>
      <c r="K137" s="50">
        <v>4</v>
      </c>
      <c r="L137" s="50">
        <v>4</v>
      </c>
      <c r="M137" s="50">
        <v>4</v>
      </c>
      <c r="N137" s="50">
        <v>4</v>
      </c>
    </row>
    <row r="138" spans="1:14" x14ac:dyDescent="0.25">
      <c r="A138" s="46" t="s">
        <v>145</v>
      </c>
      <c r="B138" s="46" t="s">
        <v>146</v>
      </c>
      <c r="C138" s="50">
        <v>4</v>
      </c>
      <c r="D138" s="50">
        <v>4</v>
      </c>
      <c r="E138" s="50">
        <v>4</v>
      </c>
      <c r="F138" s="50">
        <v>4</v>
      </c>
      <c r="G138" s="50">
        <v>4</v>
      </c>
      <c r="H138" s="50">
        <v>5</v>
      </c>
      <c r="I138" s="50">
        <v>4</v>
      </c>
      <c r="J138" s="50">
        <v>4</v>
      </c>
      <c r="K138" s="50">
        <v>4</v>
      </c>
      <c r="L138" s="50">
        <v>4</v>
      </c>
      <c r="M138" s="50">
        <v>4</v>
      </c>
      <c r="N138" s="50">
        <v>4</v>
      </c>
    </row>
    <row r="139" spans="1:14" x14ac:dyDescent="0.25">
      <c r="A139" s="46" t="s">
        <v>147</v>
      </c>
      <c r="B139" s="46" t="s">
        <v>148</v>
      </c>
      <c r="C139" s="50">
        <v>4</v>
      </c>
      <c r="D139" s="50">
        <v>4</v>
      </c>
      <c r="E139" s="50">
        <v>4</v>
      </c>
      <c r="F139" s="50">
        <v>4</v>
      </c>
      <c r="G139" s="50">
        <v>4</v>
      </c>
      <c r="H139" s="50">
        <v>5</v>
      </c>
      <c r="I139" s="50">
        <v>4</v>
      </c>
      <c r="J139" s="50">
        <v>4</v>
      </c>
      <c r="K139" s="50">
        <v>4</v>
      </c>
      <c r="L139" s="50">
        <v>4</v>
      </c>
      <c r="M139" s="50">
        <v>4</v>
      </c>
      <c r="N139" s="50">
        <v>4</v>
      </c>
    </row>
    <row r="140" spans="1:14" x14ac:dyDescent="0.25">
      <c r="A140" s="46" t="s">
        <v>149</v>
      </c>
      <c r="B140" s="46" t="s">
        <v>150</v>
      </c>
      <c r="C140" s="50">
        <v>4</v>
      </c>
      <c r="D140" s="50">
        <v>4</v>
      </c>
      <c r="E140" s="50">
        <v>4</v>
      </c>
      <c r="F140" s="50">
        <v>4</v>
      </c>
      <c r="G140" s="50">
        <v>4</v>
      </c>
      <c r="H140" s="50">
        <v>5</v>
      </c>
      <c r="I140" s="50">
        <v>4</v>
      </c>
      <c r="J140" s="50">
        <v>4</v>
      </c>
      <c r="K140" s="50">
        <v>4</v>
      </c>
      <c r="L140" s="50">
        <v>4</v>
      </c>
      <c r="M140" s="50">
        <v>4</v>
      </c>
      <c r="N140" s="50">
        <v>4</v>
      </c>
    </row>
    <row r="141" spans="1:14" x14ac:dyDescent="0.25">
      <c r="A141" s="46" t="s">
        <v>151</v>
      </c>
      <c r="B141" s="46" t="s">
        <v>152</v>
      </c>
      <c r="C141" s="50">
        <v>4</v>
      </c>
      <c r="D141" s="50">
        <v>4</v>
      </c>
      <c r="E141" s="50">
        <v>4</v>
      </c>
      <c r="F141" s="50">
        <v>4</v>
      </c>
      <c r="G141" s="50">
        <v>4</v>
      </c>
      <c r="H141" s="50">
        <v>5</v>
      </c>
      <c r="I141" s="50">
        <v>4</v>
      </c>
      <c r="J141" s="50">
        <v>4</v>
      </c>
      <c r="K141" s="50">
        <v>4</v>
      </c>
      <c r="L141" s="50">
        <v>4</v>
      </c>
      <c r="M141" s="50">
        <v>4</v>
      </c>
      <c r="N141" s="50">
        <v>4</v>
      </c>
    </row>
    <row r="142" spans="1:14" x14ac:dyDescent="0.25">
      <c r="A142" s="46" t="s">
        <v>97</v>
      </c>
      <c r="B142" s="46" t="s">
        <v>220</v>
      </c>
      <c r="C142" s="50">
        <v>2</v>
      </c>
      <c r="D142" s="50">
        <v>2</v>
      </c>
      <c r="E142" s="50">
        <v>2</v>
      </c>
      <c r="F142" s="50">
        <v>2</v>
      </c>
      <c r="G142" s="50">
        <v>2</v>
      </c>
      <c r="H142" s="50">
        <v>5</v>
      </c>
      <c r="I142" s="50">
        <v>3</v>
      </c>
      <c r="J142" s="50">
        <v>3</v>
      </c>
      <c r="K142" s="50">
        <v>4</v>
      </c>
      <c r="L142" s="50">
        <v>3</v>
      </c>
      <c r="M142" s="50">
        <v>4</v>
      </c>
      <c r="N142" s="50">
        <v>4</v>
      </c>
    </row>
    <row r="143" spans="1:14" x14ac:dyDescent="0.25">
      <c r="A143" s="46" t="s">
        <v>98</v>
      </c>
      <c r="B143" s="46" t="s">
        <v>99</v>
      </c>
      <c r="C143" s="50">
        <v>5</v>
      </c>
      <c r="D143" s="50">
        <v>2</v>
      </c>
      <c r="E143" s="50">
        <v>2</v>
      </c>
      <c r="F143" s="50">
        <v>2</v>
      </c>
      <c r="G143" s="50">
        <v>2</v>
      </c>
      <c r="H143" s="50">
        <v>5</v>
      </c>
      <c r="I143" s="50">
        <v>4</v>
      </c>
      <c r="J143" s="50">
        <v>3</v>
      </c>
      <c r="K143" s="50">
        <v>4</v>
      </c>
      <c r="L143" s="50">
        <v>3</v>
      </c>
      <c r="M143" s="50">
        <v>4</v>
      </c>
      <c r="N143" s="50">
        <v>4</v>
      </c>
    </row>
    <row r="144" spans="1:14" x14ac:dyDescent="0.25">
      <c r="A144" s="46" t="s">
        <v>100</v>
      </c>
      <c r="B144" s="46" t="s">
        <v>101</v>
      </c>
      <c r="C144" s="50">
        <v>5</v>
      </c>
      <c r="D144" s="50">
        <v>2</v>
      </c>
      <c r="E144" s="50">
        <v>2</v>
      </c>
      <c r="F144" s="50">
        <v>2</v>
      </c>
      <c r="G144" s="50">
        <v>2</v>
      </c>
      <c r="H144" s="50">
        <v>5</v>
      </c>
      <c r="I144" s="50">
        <v>4</v>
      </c>
      <c r="J144" s="50">
        <v>3</v>
      </c>
      <c r="K144" s="50">
        <v>4</v>
      </c>
      <c r="L144" s="50">
        <v>3</v>
      </c>
      <c r="M144" s="50">
        <v>4</v>
      </c>
      <c r="N144" s="50">
        <v>4</v>
      </c>
    </row>
    <row r="145" spans="1:14" x14ac:dyDescent="0.25">
      <c r="A145" s="46" t="s">
        <v>221</v>
      </c>
      <c r="B145" s="46" t="s">
        <v>222</v>
      </c>
      <c r="C145" s="50">
        <v>5</v>
      </c>
      <c r="D145" s="50">
        <v>2</v>
      </c>
      <c r="E145" s="50">
        <v>2</v>
      </c>
      <c r="F145" s="50">
        <v>2</v>
      </c>
      <c r="G145" s="50">
        <v>2</v>
      </c>
      <c r="H145" s="50">
        <v>5</v>
      </c>
      <c r="I145" s="50">
        <v>4</v>
      </c>
      <c r="J145" s="50">
        <v>3</v>
      </c>
      <c r="K145" s="50">
        <v>4</v>
      </c>
      <c r="L145" s="50">
        <v>3</v>
      </c>
      <c r="M145" s="50">
        <v>4</v>
      </c>
      <c r="N145" s="50">
        <v>4</v>
      </c>
    </row>
    <row r="146" spans="1:14" x14ac:dyDescent="0.25">
      <c r="A146" s="46" t="s">
        <v>153</v>
      </c>
      <c r="B146" s="46" t="s">
        <v>154</v>
      </c>
      <c r="C146" s="50">
        <v>4</v>
      </c>
      <c r="D146" s="50">
        <v>4</v>
      </c>
      <c r="E146" s="50">
        <v>4</v>
      </c>
      <c r="F146" s="50">
        <v>4</v>
      </c>
      <c r="G146" s="50">
        <v>4</v>
      </c>
      <c r="H146" s="50">
        <v>7</v>
      </c>
      <c r="I146" s="50">
        <v>8</v>
      </c>
      <c r="J146" s="50">
        <v>5</v>
      </c>
      <c r="K146" s="50">
        <v>5</v>
      </c>
      <c r="L146" s="50">
        <v>8</v>
      </c>
      <c r="M146" s="50">
        <v>5</v>
      </c>
      <c r="N146" s="50">
        <v>5</v>
      </c>
    </row>
    <row r="147" spans="1:14" x14ac:dyDescent="0.25">
      <c r="A147" s="46" t="s">
        <v>155</v>
      </c>
      <c r="B147" s="46" t="s">
        <v>156</v>
      </c>
      <c r="C147" s="50">
        <v>10</v>
      </c>
      <c r="D147" s="50">
        <v>4</v>
      </c>
      <c r="E147" s="50">
        <v>4</v>
      </c>
      <c r="F147" s="50">
        <v>4</v>
      </c>
      <c r="G147" s="50">
        <v>4</v>
      </c>
      <c r="H147" s="50">
        <v>10</v>
      </c>
      <c r="I147" s="50">
        <v>8</v>
      </c>
      <c r="J147" s="50">
        <v>8</v>
      </c>
      <c r="K147" s="50">
        <v>8</v>
      </c>
      <c r="L147" s="50">
        <v>8</v>
      </c>
      <c r="M147" s="50">
        <v>8</v>
      </c>
      <c r="N147" s="50">
        <v>8</v>
      </c>
    </row>
    <row r="148" spans="1:14" x14ac:dyDescent="0.25">
      <c r="A148" s="46" t="s">
        <v>157</v>
      </c>
      <c r="B148" s="46" t="s">
        <v>158</v>
      </c>
      <c r="C148" s="50">
        <v>5</v>
      </c>
      <c r="D148" s="50">
        <v>2</v>
      </c>
      <c r="E148" s="50">
        <v>2</v>
      </c>
      <c r="F148" s="50">
        <v>2</v>
      </c>
      <c r="G148" s="50">
        <v>2</v>
      </c>
      <c r="H148" s="50">
        <v>5</v>
      </c>
      <c r="I148" s="50">
        <v>4</v>
      </c>
      <c r="J148" s="50">
        <v>4</v>
      </c>
      <c r="K148" s="50">
        <v>4</v>
      </c>
      <c r="L148" s="50">
        <v>4</v>
      </c>
      <c r="M148" s="50">
        <v>4</v>
      </c>
      <c r="N148" s="50">
        <v>4</v>
      </c>
    </row>
    <row r="149" spans="1:14" x14ac:dyDescent="0.25">
      <c r="A149" s="46" t="s">
        <v>223</v>
      </c>
      <c r="B149" s="46" t="s">
        <v>224</v>
      </c>
      <c r="C149" s="50">
        <v>3</v>
      </c>
      <c r="D149" s="50">
        <v>3</v>
      </c>
      <c r="E149" s="50">
        <v>3</v>
      </c>
      <c r="F149" s="50">
        <v>3</v>
      </c>
      <c r="G149" s="50">
        <v>3</v>
      </c>
      <c r="H149" s="50">
        <v>5</v>
      </c>
      <c r="I149" s="50">
        <v>4</v>
      </c>
      <c r="J149" s="50">
        <v>4</v>
      </c>
      <c r="K149" s="50">
        <v>4</v>
      </c>
      <c r="L149" s="50">
        <v>4</v>
      </c>
      <c r="M149" s="50">
        <v>4</v>
      </c>
      <c r="N149" s="50">
        <v>4</v>
      </c>
    </row>
    <row r="150" spans="1:14" x14ac:dyDescent="0.25">
      <c r="A150" s="46" t="s">
        <v>225</v>
      </c>
      <c r="B150" s="46" t="s">
        <v>226</v>
      </c>
      <c r="C150" s="50">
        <v>3</v>
      </c>
      <c r="D150" s="50">
        <v>3</v>
      </c>
      <c r="E150" s="50">
        <v>3</v>
      </c>
      <c r="F150" s="50">
        <v>3</v>
      </c>
      <c r="G150" s="50">
        <v>3</v>
      </c>
      <c r="H150" s="50">
        <v>5</v>
      </c>
      <c r="I150" s="50">
        <v>4</v>
      </c>
      <c r="J150" s="50">
        <v>4</v>
      </c>
      <c r="K150" s="50">
        <v>4</v>
      </c>
      <c r="L150" s="50">
        <v>4</v>
      </c>
      <c r="M150" s="50">
        <v>4</v>
      </c>
      <c r="N150" s="50">
        <v>4</v>
      </c>
    </row>
    <row r="151" spans="1:14" x14ac:dyDescent="0.25">
      <c r="A151" s="46" t="s">
        <v>22</v>
      </c>
      <c r="B151" s="46" t="s">
        <v>46</v>
      </c>
      <c r="C151" s="50">
        <v>3</v>
      </c>
      <c r="D151" s="50">
        <v>3</v>
      </c>
      <c r="E151" s="50">
        <v>3</v>
      </c>
      <c r="F151" s="50">
        <v>3</v>
      </c>
      <c r="G151" s="50">
        <v>3</v>
      </c>
      <c r="H151" s="50">
        <v>5</v>
      </c>
      <c r="I151" s="50">
        <v>4</v>
      </c>
      <c r="J151" s="50">
        <v>4</v>
      </c>
      <c r="K151" s="50">
        <v>4</v>
      </c>
      <c r="L151" s="50">
        <v>4</v>
      </c>
      <c r="M151" s="50">
        <v>4</v>
      </c>
      <c r="N151" s="50">
        <v>4</v>
      </c>
    </row>
    <row r="152" spans="1:14" x14ac:dyDescent="0.25">
      <c r="A152" s="46" t="s">
        <v>102</v>
      </c>
      <c r="B152" s="46" t="s">
        <v>227</v>
      </c>
      <c r="C152" s="50">
        <v>5</v>
      </c>
      <c r="D152" s="50">
        <v>2</v>
      </c>
      <c r="E152" s="50">
        <v>2</v>
      </c>
      <c r="F152" s="50">
        <v>2</v>
      </c>
      <c r="G152" s="50">
        <v>2</v>
      </c>
      <c r="H152" s="50">
        <v>5</v>
      </c>
      <c r="I152" s="50">
        <v>3</v>
      </c>
      <c r="J152" s="50">
        <v>3</v>
      </c>
      <c r="K152" s="50">
        <v>3</v>
      </c>
      <c r="L152" s="50">
        <v>3</v>
      </c>
      <c r="M152" s="50">
        <v>3</v>
      </c>
      <c r="N152" s="50">
        <v>4</v>
      </c>
    </row>
    <row r="153" spans="1:14" x14ac:dyDescent="0.25">
      <c r="A153" s="46" t="s">
        <v>76</v>
      </c>
      <c r="B153" s="46" t="s">
        <v>228</v>
      </c>
      <c r="C153" s="50">
        <v>5</v>
      </c>
      <c r="D153" s="50">
        <v>2</v>
      </c>
      <c r="E153" s="50">
        <v>2</v>
      </c>
      <c r="F153" s="50">
        <v>2</v>
      </c>
      <c r="G153" s="50">
        <v>2</v>
      </c>
      <c r="H153" s="50">
        <v>5</v>
      </c>
      <c r="I153" s="50">
        <v>3</v>
      </c>
      <c r="J153" s="50">
        <v>3</v>
      </c>
      <c r="K153" s="50">
        <v>3</v>
      </c>
      <c r="L153" s="50">
        <v>3</v>
      </c>
      <c r="M153" s="50">
        <v>3</v>
      </c>
      <c r="N153" s="50">
        <v>4</v>
      </c>
    </row>
    <row r="154" spans="1:14" x14ac:dyDescent="0.25">
      <c r="A154" s="46" t="s">
        <v>229</v>
      </c>
      <c r="B154" s="46" t="s">
        <v>230</v>
      </c>
      <c r="C154" s="50">
        <v>1</v>
      </c>
      <c r="D154" s="50">
        <v>1</v>
      </c>
      <c r="E154" s="50">
        <v>1</v>
      </c>
      <c r="F154" s="50">
        <v>1</v>
      </c>
      <c r="G154" s="50">
        <v>1</v>
      </c>
      <c r="H154" s="50">
        <v>5</v>
      </c>
      <c r="I154" s="50">
        <v>1</v>
      </c>
      <c r="J154" s="50">
        <v>1</v>
      </c>
      <c r="K154" s="50">
        <v>5</v>
      </c>
      <c r="L154" s="50">
        <v>1</v>
      </c>
      <c r="M154" s="50">
        <v>1</v>
      </c>
      <c r="N154" s="50">
        <v>1</v>
      </c>
    </row>
    <row r="155" spans="1:14" x14ac:dyDescent="0.25">
      <c r="A155" s="46" t="s">
        <v>160</v>
      </c>
      <c r="B155" s="46" t="s">
        <v>161</v>
      </c>
      <c r="C155" s="50">
        <v>4</v>
      </c>
      <c r="D155" s="50">
        <v>4</v>
      </c>
      <c r="E155" s="50">
        <v>4</v>
      </c>
      <c r="F155" s="50">
        <v>4</v>
      </c>
      <c r="G155" s="50">
        <v>4</v>
      </c>
      <c r="H155" s="50">
        <v>5</v>
      </c>
      <c r="I155" s="50">
        <v>4</v>
      </c>
      <c r="J155" s="50">
        <v>4</v>
      </c>
      <c r="K155" s="50">
        <v>4</v>
      </c>
      <c r="L155" s="50">
        <v>4</v>
      </c>
      <c r="M155" s="50">
        <v>4</v>
      </c>
      <c r="N155" s="50">
        <v>4</v>
      </c>
    </row>
    <row r="156" spans="1:14" x14ac:dyDescent="0.25">
      <c r="A156" s="46" t="s">
        <v>231</v>
      </c>
      <c r="B156" s="46" t="s">
        <v>232</v>
      </c>
      <c r="C156" s="50">
        <v>4</v>
      </c>
      <c r="D156" s="50">
        <v>4</v>
      </c>
      <c r="E156" s="50">
        <v>4</v>
      </c>
      <c r="F156" s="50">
        <v>4</v>
      </c>
      <c r="G156" s="50">
        <v>4</v>
      </c>
      <c r="H156" s="50">
        <v>5</v>
      </c>
      <c r="I156" s="50">
        <v>4</v>
      </c>
      <c r="J156" s="50">
        <v>4</v>
      </c>
      <c r="K156" s="50">
        <v>4</v>
      </c>
      <c r="L156" s="50">
        <v>4</v>
      </c>
      <c r="M156" s="50">
        <v>4</v>
      </c>
      <c r="N156" s="50">
        <v>4</v>
      </c>
    </row>
    <row r="157" spans="1:14" x14ac:dyDescent="0.25">
      <c r="A157" s="46" t="s">
        <v>233</v>
      </c>
      <c r="B157" s="46" t="s">
        <v>234</v>
      </c>
      <c r="C157" s="50">
        <v>4</v>
      </c>
      <c r="D157" s="50">
        <v>4</v>
      </c>
      <c r="E157" s="50">
        <v>4</v>
      </c>
      <c r="F157" s="50">
        <v>4</v>
      </c>
      <c r="G157" s="50">
        <v>4</v>
      </c>
      <c r="H157" s="50">
        <v>5</v>
      </c>
      <c r="I157" s="50">
        <v>4</v>
      </c>
      <c r="J157" s="50">
        <v>4</v>
      </c>
      <c r="K157" s="50">
        <v>4</v>
      </c>
      <c r="L157" s="50">
        <v>4</v>
      </c>
      <c r="M157" s="50">
        <v>4</v>
      </c>
      <c r="N157" s="50">
        <v>4</v>
      </c>
    </row>
    <row r="158" spans="1:14" x14ac:dyDescent="0.25">
      <c r="A158" s="46" t="s">
        <v>162</v>
      </c>
      <c r="B158" s="46" t="s">
        <v>163</v>
      </c>
      <c r="C158" s="50">
        <v>2</v>
      </c>
      <c r="D158" s="50">
        <v>2</v>
      </c>
      <c r="E158" s="50">
        <v>2</v>
      </c>
      <c r="F158" s="50">
        <v>2</v>
      </c>
      <c r="G158" s="50">
        <v>2</v>
      </c>
      <c r="H158" s="50">
        <v>5</v>
      </c>
      <c r="I158" s="50">
        <v>4</v>
      </c>
      <c r="J158" s="50">
        <v>2</v>
      </c>
      <c r="K158" s="50">
        <v>3</v>
      </c>
      <c r="L158" s="50">
        <v>2</v>
      </c>
      <c r="M158" s="50">
        <v>4</v>
      </c>
      <c r="N158" s="50">
        <v>4</v>
      </c>
    </row>
    <row r="159" spans="1:14" x14ac:dyDescent="0.25">
      <c r="A159" s="46" t="s">
        <v>235</v>
      </c>
      <c r="B159" s="46" t="s">
        <v>236</v>
      </c>
      <c r="C159" s="50">
        <v>3</v>
      </c>
      <c r="D159" s="50">
        <v>3</v>
      </c>
      <c r="E159" s="50">
        <v>3</v>
      </c>
      <c r="F159" s="50">
        <v>3</v>
      </c>
      <c r="G159" s="50">
        <v>3</v>
      </c>
      <c r="H159" s="50">
        <v>5</v>
      </c>
      <c r="I159" s="50">
        <v>4</v>
      </c>
      <c r="J159" s="50">
        <v>4</v>
      </c>
      <c r="K159" s="50">
        <v>4</v>
      </c>
      <c r="L159" s="50">
        <v>4</v>
      </c>
      <c r="M159" s="50">
        <v>4</v>
      </c>
      <c r="N159" s="50">
        <v>4</v>
      </c>
    </row>
    <row r="160" spans="1:14" x14ac:dyDescent="0.25">
      <c r="A160" s="46" t="s">
        <v>164</v>
      </c>
      <c r="B160" s="46" t="s">
        <v>165</v>
      </c>
      <c r="C160" s="50">
        <v>5</v>
      </c>
      <c r="D160" s="50">
        <v>3</v>
      </c>
      <c r="E160" s="50">
        <v>3</v>
      </c>
      <c r="F160" s="50">
        <v>3</v>
      </c>
      <c r="G160" s="50">
        <v>3</v>
      </c>
      <c r="H160" s="50">
        <v>5</v>
      </c>
      <c r="I160" s="50">
        <v>4</v>
      </c>
      <c r="J160" s="50">
        <v>4</v>
      </c>
      <c r="K160" s="50">
        <v>4</v>
      </c>
      <c r="L160" s="50">
        <v>4</v>
      </c>
      <c r="M160" s="50">
        <v>4</v>
      </c>
      <c r="N160" s="50">
        <v>4</v>
      </c>
    </row>
    <row r="161" spans="1:14" x14ac:dyDescent="0.25">
      <c r="A161" s="46" t="s">
        <v>237</v>
      </c>
      <c r="B161" s="46" t="s">
        <v>238</v>
      </c>
      <c r="C161" s="50">
        <v>5</v>
      </c>
      <c r="D161" s="50">
        <v>3</v>
      </c>
      <c r="E161" s="50">
        <v>3</v>
      </c>
      <c r="F161" s="50">
        <v>3</v>
      </c>
      <c r="G161" s="50">
        <v>3</v>
      </c>
      <c r="H161" s="50">
        <v>5</v>
      </c>
      <c r="I161" s="50">
        <v>4</v>
      </c>
      <c r="J161" s="50">
        <v>4</v>
      </c>
      <c r="K161" s="50">
        <v>4</v>
      </c>
      <c r="L161" s="50">
        <v>4</v>
      </c>
      <c r="M161" s="50">
        <v>4</v>
      </c>
      <c r="N161" s="50">
        <v>4</v>
      </c>
    </row>
    <row r="162" spans="1:14" x14ac:dyDescent="0.25">
      <c r="A162" s="46" t="s">
        <v>239</v>
      </c>
      <c r="B162" s="46" t="s">
        <v>240</v>
      </c>
      <c r="C162" s="50">
        <v>5</v>
      </c>
      <c r="D162" s="50">
        <v>3</v>
      </c>
      <c r="E162" s="50">
        <v>3</v>
      </c>
      <c r="F162" s="50">
        <v>3</v>
      </c>
      <c r="G162" s="50">
        <v>3</v>
      </c>
      <c r="H162" s="50">
        <v>5</v>
      </c>
      <c r="I162" s="50">
        <v>4</v>
      </c>
      <c r="J162" s="50">
        <v>4</v>
      </c>
      <c r="K162" s="50">
        <v>4</v>
      </c>
      <c r="L162" s="50">
        <v>4</v>
      </c>
      <c r="M162" s="50">
        <v>4</v>
      </c>
      <c r="N162" s="50">
        <v>4</v>
      </c>
    </row>
    <row r="163" spans="1:14" x14ac:dyDescent="0.25">
      <c r="A163" s="46" t="s">
        <v>79</v>
      </c>
      <c r="B163" s="46" t="s">
        <v>80</v>
      </c>
      <c r="C163" s="50">
        <v>3</v>
      </c>
      <c r="D163" s="50">
        <v>3</v>
      </c>
      <c r="E163" s="50">
        <v>3</v>
      </c>
      <c r="F163" s="50">
        <v>3</v>
      </c>
      <c r="G163" s="50">
        <v>3</v>
      </c>
      <c r="H163" s="50">
        <v>5</v>
      </c>
      <c r="I163" s="50">
        <v>4</v>
      </c>
      <c r="J163" s="50">
        <v>3</v>
      </c>
      <c r="K163" s="50">
        <v>4</v>
      </c>
      <c r="L163" s="50">
        <v>3</v>
      </c>
      <c r="M163" s="50">
        <v>3</v>
      </c>
      <c r="N163" s="50">
        <v>4</v>
      </c>
    </row>
    <row r="164" spans="1:14" x14ac:dyDescent="0.25">
      <c r="A164" s="46" t="s">
        <v>23</v>
      </c>
      <c r="B164" s="46" t="s">
        <v>47</v>
      </c>
      <c r="C164" s="50">
        <v>3</v>
      </c>
      <c r="D164" s="50">
        <v>3</v>
      </c>
      <c r="E164" s="50">
        <v>3</v>
      </c>
      <c r="F164" s="50">
        <v>3</v>
      </c>
      <c r="G164" s="50">
        <v>3</v>
      </c>
      <c r="H164" s="50">
        <v>5</v>
      </c>
      <c r="I164" s="50">
        <v>4</v>
      </c>
      <c r="J164" s="50">
        <v>4</v>
      </c>
      <c r="K164" s="50">
        <v>4</v>
      </c>
      <c r="L164" s="50">
        <v>4</v>
      </c>
      <c r="M164" s="50">
        <v>4</v>
      </c>
      <c r="N164" s="50">
        <v>4</v>
      </c>
    </row>
    <row r="165" spans="1:14" x14ac:dyDescent="0.25">
      <c r="A165" s="46" t="s">
        <v>166</v>
      </c>
      <c r="B165" s="46" t="s">
        <v>167</v>
      </c>
      <c r="C165" s="50">
        <v>3</v>
      </c>
      <c r="D165" s="50">
        <v>3</v>
      </c>
      <c r="E165" s="50">
        <v>3</v>
      </c>
      <c r="F165" s="50">
        <v>3</v>
      </c>
      <c r="G165" s="50">
        <v>3</v>
      </c>
      <c r="H165" s="50">
        <v>5</v>
      </c>
      <c r="I165" s="50">
        <v>4</v>
      </c>
      <c r="J165" s="50">
        <v>4</v>
      </c>
      <c r="K165" s="50">
        <v>4</v>
      </c>
      <c r="L165" s="50">
        <v>4</v>
      </c>
      <c r="M165" s="50">
        <v>4</v>
      </c>
      <c r="N165" s="50">
        <v>4</v>
      </c>
    </row>
    <row r="166" spans="1:14" x14ac:dyDescent="0.25">
      <c r="A166" s="46" t="s">
        <v>352</v>
      </c>
      <c r="B166" s="46"/>
      <c r="C166" s="50">
        <v>511</v>
      </c>
      <c r="D166" s="50">
        <v>458</v>
      </c>
      <c r="E166" s="50">
        <v>427</v>
      </c>
      <c r="F166" s="50">
        <v>409</v>
      </c>
      <c r="G166" s="50">
        <v>425</v>
      </c>
      <c r="H166" s="50">
        <v>735</v>
      </c>
      <c r="I166" s="50">
        <v>669</v>
      </c>
      <c r="J166" s="50">
        <v>500</v>
      </c>
      <c r="K166" s="50">
        <v>551</v>
      </c>
      <c r="L166" s="50">
        <v>506</v>
      </c>
      <c r="M166" s="50">
        <v>546</v>
      </c>
      <c r="N166" s="50">
        <v>559</v>
      </c>
    </row>
    <row r="167" spans="1:14" x14ac:dyDescent="0.25">
      <c r="C167"/>
      <c r="D167"/>
      <c r="E167"/>
      <c r="F167"/>
      <c r="G167"/>
      <c r="H167"/>
      <c r="I167"/>
      <c r="J167"/>
      <c r="K167"/>
      <c r="L167"/>
      <c r="M167"/>
      <c r="N16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B675-68A8-465B-A1FD-828ABA5F17EE}">
  <dimension ref="A1:F20"/>
  <sheetViews>
    <sheetView showGridLines="0" workbookViewId="0">
      <selection activeCell="A20" sqref="A20"/>
    </sheetView>
  </sheetViews>
  <sheetFormatPr defaultRowHeight="15" x14ac:dyDescent="0.25"/>
  <cols>
    <col min="1" max="1" width="26.85546875" bestFit="1" customWidth="1"/>
    <col min="2" max="3" width="30.28515625" bestFit="1" customWidth="1"/>
    <col min="4" max="4" width="26.42578125" bestFit="1" customWidth="1"/>
    <col min="5" max="5" width="37.7109375" bestFit="1" customWidth="1"/>
    <col min="6" max="6" width="15.28515625" bestFit="1" customWidth="1"/>
  </cols>
  <sheetData>
    <row r="1" spans="1:6" ht="27" x14ac:dyDescent="0.25">
      <c r="A1" s="107"/>
      <c r="B1" s="98" t="s">
        <v>394</v>
      </c>
      <c r="C1" s="99"/>
      <c r="D1" s="100"/>
      <c r="E1" s="59" t="s">
        <v>390</v>
      </c>
      <c r="F1" s="60"/>
    </row>
    <row r="2" spans="1:6" ht="27" x14ac:dyDescent="0.25">
      <c r="A2" s="108"/>
      <c r="B2" s="101"/>
      <c r="C2" s="102"/>
      <c r="D2" s="103"/>
      <c r="E2" s="58" t="s">
        <v>391</v>
      </c>
      <c r="F2" s="61"/>
    </row>
    <row r="3" spans="1:6" ht="27" x14ac:dyDescent="0.25">
      <c r="A3" s="108"/>
      <c r="B3" s="101"/>
      <c r="C3" s="102"/>
      <c r="D3" s="103"/>
      <c r="E3" s="58" t="s">
        <v>392</v>
      </c>
      <c r="F3" s="61"/>
    </row>
    <row r="4" spans="1:6" ht="27.75" thickBot="1" x14ac:dyDescent="0.3">
      <c r="A4" s="109"/>
      <c r="B4" s="104"/>
      <c r="C4" s="105"/>
      <c r="D4" s="106"/>
      <c r="E4" s="62" t="s">
        <v>393</v>
      </c>
      <c r="F4" s="63"/>
    </row>
    <row r="5" spans="1:6" ht="28.5" thickBot="1" x14ac:dyDescent="0.3">
      <c r="A5" s="69" t="s">
        <v>395</v>
      </c>
      <c r="B5" s="70" t="s">
        <v>396</v>
      </c>
      <c r="C5" s="70" t="s">
        <v>397</v>
      </c>
      <c r="D5" s="70" t="s">
        <v>398</v>
      </c>
      <c r="E5" s="70" t="s">
        <v>399</v>
      </c>
      <c r="F5" s="71" t="s">
        <v>400</v>
      </c>
    </row>
    <row r="6" spans="1:6" x14ac:dyDescent="0.25">
      <c r="A6" s="72" t="s">
        <v>290</v>
      </c>
      <c r="B6" s="73" t="s">
        <v>376</v>
      </c>
      <c r="C6" s="73" t="s">
        <v>377</v>
      </c>
      <c r="D6" s="73" t="s">
        <v>403</v>
      </c>
      <c r="E6" s="73" t="s">
        <v>292</v>
      </c>
      <c r="F6" s="74" t="s">
        <v>25</v>
      </c>
    </row>
    <row r="7" spans="1:6" x14ac:dyDescent="0.25">
      <c r="A7" s="64" t="s">
        <v>286</v>
      </c>
      <c r="B7" s="46" t="s">
        <v>379</v>
      </c>
      <c r="C7" s="46" t="s">
        <v>380</v>
      </c>
      <c r="D7" s="46" t="s">
        <v>401</v>
      </c>
      <c r="E7" s="46" t="s">
        <v>288</v>
      </c>
      <c r="F7" s="65" t="s">
        <v>288</v>
      </c>
    </row>
    <row r="8" spans="1:6" x14ac:dyDescent="0.25">
      <c r="A8" s="64" t="s">
        <v>285</v>
      </c>
      <c r="B8" s="46" t="s">
        <v>380</v>
      </c>
      <c r="C8" s="46" t="s">
        <v>381</v>
      </c>
      <c r="D8" s="46" t="s">
        <v>408</v>
      </c>
      <c r="E8" s="46" t="s">
        <v>24</v>
      </c>
      <c r="F8" s="65" t="s">
        <v>284</v>
      </c>
    </row>
    <row r="9" spans="1:6" x14ac:dyDescent="0.25">
      <c r="A9" s="64" t="s">
        <v>370</v>
      </c>
      <c r="B9" s="46" t="s">
        <v>381</v>
      </c>
      <c r="C9" s="46" t="s">
        <v>380</v>
      </c>
      <c r="D9" s="46" t="s">
        <v>402</v>
      </c>
      <c r="E9" s="46" t="s">
        <v>375</v>
      </c>
      <c r="F9" s="65" t="s">
        <v>284</v>
      </c>
    </row>
    <row r="10" spans="1:6" x14ac:dyDescent="0.25">
      <c r="A10" s="64" t="s">
        <v>291</v>
      </c>
      <c r="B10" s="46" t="s">
        <v>377</v>
      </c>
      <c r="C10" s="46" t="s">
        <v>382</v>
      </c>
      <c r="D10" s="46" t="s">
        <v>406</v>
      </c>
      <c r="E10" s="46" t="s">
        <v>389</v>
      </c>
      <c r="F10" s="65" t="s">
        <v>284</v>
      </c>
    </row>
    <row r="11" spans="1:6" x14ac:dyDescent="0.25">
      <c r="A11" s="64" t="s">
        <v>284</v>
      </c>
      <c r="B11" s="46" t="s">
        <v>377</v>
      </c>
      <c r="C11" s="46" t="s">
        <v>383</v>
      </c>
      <c r="D11" s="46" t="s">
        <v>407</v>
      </c>
      <c r="E11" s="46" t="s">
        <v>25</v>
      </c>
      <c r="F11" s="65" t="s">
        <v>378</v>
      </c>
    </row>
    <row r="12" spans="1:6" x14ac:dyDescent="0.25">
      <c r="A12" s="64" t="s">
        <v>25</v>
      </c>
      <c r="B12" s="46" t="s">
        <v>377</v>
      </c>
      <c r="C12" s="46" t="s">
        <v>384</v>
      </c>
      <c r="D12" s="46" t="s">
        <v>371</v>
      </c>
      <c r="E12" s="46" t="s">
        <v>284</v>
      </c>
      <c r="F12" s="65" t="s">
        <v>284</v>
      </c>
    </row>
    <row r="13" spans="1:6" x14ac:dyDescent="0.25">
      <c r="A13" s="64" t="s">
        <v>26</v>
      </c>
      <c r="B13" s="46" t="s">
        <v>385</v>
      </c>
      <c r="C13" s="46" t="s">
        <v>377</v>
      </c>
      <c r="D13" s="46" t="s">
        <v>403</v>
      </c>
      <c r="E13" s="46" t="s">
        <v>25</v>
      </c>
      <c r="F13" s="65" t="s">
        <v>25</v>
      </c>
    </row>
    <row r="14" spans="1:6" x14ac:dyDescent="0.25">
      <c r="A14" s="64" t="s">
        <v>292</v>
      </c>
      <c r="B14" s="46" t="s">
        <v>386</v>
      </c>
      <c r="C14" s="46" t="s">
        <v>377</v>
      </c>
      <c r="D14" s="46" t="s">
        <v>403</v>
      </c>
      <c r="E14" s="46" t="s">
        <v>24</v>
      </c>
      <c r="F14" s="65" t="s">
        <v>25</v>
      </c>
    </row>
    <row r="15" spans="1:6" x14ac:dyDescent="0.25">
      <c r="A15" s="64" t="s">
        <v>288</v>
      </c>
      <c r="B15" s="46" t="s">
        <v>379</v>
      </c>
      <c r="C15" s="46" t="s">
        <v>382</v>
      </c>
      <c r="D15" s="46" t="s">
        <v>404</v>
      </c>
      <c r="E15" s="46" t="s">
        <v>369</v>
      </c>
      <c r="F15" s="65" t="s">
        <v>378</v>
      </c>
    </row>
    <row r="16" spans="1:6" x14ac:dyDescent="0.25">
      <c r="A16" s="64" t="s">
        <v>24</v>
      </c>
      <c r="B16" s="46" t="s">
        <v>387</v>
      </c>
      <c r="C16" s="46" t="s">
        <v>381</v>
      </c>
      <c r="D16" s="46" t="s">
        <v>405</v>
      </c>
      <c r="E16" s="46" t="s">
        <v>285</v>
      </c>
      <c r="F16" s="65" t="s">
        <v>284</v>
      </c>
    </row>
    <row r="17" spans="1:6" x14ac:dyDescent="0.25">
      <c r="A17" s="64" t="s">
        <v>372</v>
      </c>
      <c r="B17" s="46" t="s">
        <v>377</v>
      </c>
      <c r="C17" s="46" t="s">
        <v>388</v>
      </c>
      <c r="D17" s="46" t="s">
        <v>403</v>
      </c>
      <c r="E17" s="46" t="s">
        <v>291</v>
      </c>
      <c r="F17" s="65" t="s">
        <v>25</v>
      </c>
    </row>
    <row r="18" spans="1:6" x14ac:dyDescent="0.25">
      <c r="A18" s="64" t="s">
        <v>373</v>
      </c>
      <c r="B18" s="46" t="s">
        <v>379</v>
      </c>
      <c r="C18" s="46" t="s">
        <v>381</v>
      </c>
      <c r="D18" s="46" t="s">
        <v>401</v>
      </c>
      <c r="E18" s="46" t="s">
        <v>374</v>
      </c>
      <c r="F18" s="65" t="s">
        <v>288</v>
      </c>
    </row>
    <row r="19" spans="1:6" x14ac:dyDescent="0.25">
      <c r="A19" s="64" t="s">
        <v>410</v>
      </c>
      <c r="B19" s="46" t="s">
        <v>379</v>
      </c>
      <c r="C19" s="46"/>
      <c r="D19" s="46" t="s">
        <v>401</v>
      </c>
      <c r="E19" s="46" t="s">
        <v>373</v>
      </c>
      <c r="F19" s="65" t="s">
        <v>288</v>
      </c>
    </row>
    <row r="20" spans="1:6" ht="15.75" thickBot="1" x14ac:dyDescent="0.3">
      <c r="A20" s="66" t="s">
        <v>375</v>
      </c>
      <c r="B20" s="67" t="s">
        <v>381</v>
      </c>
      <c r="C20" s="67" t="s">
        <v>380</v>
      </c>
      <c r="D20" s="67" t="s">
        <v>402</v>
      </c>
      <c r="E20" s="67" t="s">
        <v>370</v>
      </c>
      <c r="F20" s="68" t="s">
        <v>284</v>
      </c>
    </row>
  </sheetData>
  <mergeCells count="2">
    <mergeCell ref="B1:D4"/>
    <mergeCell ref="A1:A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AC31-EB3D-44B1-B626-2C3F92240664}">
  <dimension ref="A1:B27"/>
  <sheetViews>
    <sheetView showGridLines="0" workbookViewId="0">
      <selection activeCell="E21" sqref="E21"/>
    </sheetView>
  </sheetViews>
  <sheetFormatPr defaultRowHeight="15" x14ac:dyDescent="0.25"/>
  <cols>
    <col min="1" max="1" width="26.42578125" style="29" bestFit="1" customWidth="1"/>
    <col min="2" max="2" width="21.7109375" style="16" customWidth="1"/>
    <col min="3" max="3" width="11.28515625" customWidth="1"/>
    <col min="4" max="4" width="12.7109375" customWidth="1"/>
    <col min="5" max="5" width="7.7109375" bestFit="1" customWidth="1"/>
  </cols>
  <sheetData>
    <row r="1" spans="1:2" ht="16.5" thickBot="1" x14ac:dyDescent="0.3">
      <c r="A1" s="44" t="s">
        <v>350</v>
      </c>
      <c r="B1" s="45" t="s">
        <v>351</v>
      </c>
    </row>
    <row r="2" spans="1:2" x14ac:dyDescent="0.25">
      <c r="A2" s="114" t="s">
        <v>321</v>
      </c>
      <c r="B2" s="34" t="s">
        <v>286</v>
      </c>
    </row>
    <row r="3" spans="1:2" x14ac:dyDescent="0.25">
      <c r="A3" s="114"/>
      <c r="B3" s="35" t="s">
        <v>287</v>
      </c>
    </row>
    <row r="4" spans="1:2" x14ac:dyDescent="0.25">
      <c r="A4" s="114"/>
      <c r="B4" s="35" t="s">
        <v>288</v>
      </c>
    </row>
    <row r="5" spans="1:2" ht="15.75" thickBot="1" x14ac:dyDescent="0.3">
      <c r="A5" s="115"/>
      <c r="B5" s="36" t="s">
        <v>285</v>
      </c>
    </row>
    <row r="6" spans="1:2" x14ac:dyDescent="0.25">
      <c r="A6" s="112" t="s">
        <v>329</v>
      </c>
      <c r="B6" s="37" t="s">
        <v>289</v>
      </c>
    </row>
    <row r="7" spans="1:2" ht="15.75" thickBot="1" x14ac:dyDescent="0.3">
      <c r="A7" s="113"/>
      <c r="B7" s="36" t="s">
        <v>285</v>
      </c>
    </row>
    <row r="8" spans="1:2" x14ac:dyDescent="0.25">
      <c r="A8" s="112" t="s">
        <v>330</v>
      </c>
      <c r="B8" s="38" t="s">
        <v>24</v>
      </c>
    </row>
    <row r="9" spans="1:2" ht="15.75" thickBot="1" x14ac:dyDescent="0.3">
      <c r="A9" s="113"/>
      <c r="B9" s="36" t="s">
        <v>285</v>
      </c>
    </row>
    <row r="10" spans="1:2" x14ac:dyDescent="0.25">
      <c r="A10" s="116" t="s">
        <v>322</v>
      </c>
      <c r="B10" s="39" t="s">
        <v>25</v>
      </c>
    </row>
    <row r="11" spans="1:2" x14ac:dyDescent="0.25">
      <c r="A11" s="117"/>
      <c r="B11" s="40" t="s">
        <v>284</v>
      </c>
    </row>
    <row r="12" spans="1:2" x14ac:dyDescent="0.25">
      <c r="A12" s="117"/>
      <c r="B12" s="40" t="s">
        <v>26</v>
      </c>
    </row>
    <row r="13" spans="1:2" x14ac:dyDescent="0.25">
      <c r="A13" s="117"/>
      <c r="B13" s="40" t="s">
        <v>290</v>
      </c>
    </row>
    <row r="14" spans="1:2" x14ac:dyDescent="0.25">
      <c r="A14" s="118"/>
      <c r="B14" s="41" t="s">
        <v>291</v>
      </c>
    </row>
    <row r="15" spans="1:2" ht="15.75" thickBot="1" x14ac:dyDescent="0.3">
      <c r="A15" s="119"/>
      <c r="B15" s="42" t="s">
        <v>292</v>
      </c>
    </row>
    <row r="16" spans="1:2" ht="15.75" thickBot="1" x14ac:dyDescent="0.3">
      <c r="A16" s="82" t="s">
        <v>324</v>
      </c>
      <c r="B16" s="38" t="s">
        <v>24</v>
      </c>
    </row>
    <row r="17" spans="1:2" x14ac:dyDescent="0.25">
      <c r="A17" s="120" t="s">
        <v>323</v>
      </c>
      <c r="B17" s="38" t="s">
        <v>24</v>
      </c>
    </row>
    <row r="18" spans="1:2" x14ac:dyDescent="0.25">
      <c r="A18" s="121"/>
      <c r="B18" s="41" t="s">
        <v>291</v>
      </c>
    </row>
    <row r="19" spans="1:2" x14ac:dyDescent="0.25">
      <c r="A19" s="121"/>
      <c r="B19" s="40" t="s">
        <v>26</v>
      </c>
    </row>
    <row r="20" spans="1:2" ht="15.75" thickBot="1" x14ac:dyDescent="0.3">
      <c r="A20" s="122"/>
      <c r="B20" s="42" t="s">
        <v>290</v>
      </c>
    </row>
    <row r="21" spans="1:2" ht="15.75" thickBot="1" x14ac:dyDescent="0.3">
      <c r="A21" s="30" t="s">
        <v>325</v>
      </c>
      <c r="B21" s="38" t="s">
        <v>26</v>
      </c>
    </row>
    <row r="22" spans="1:2" x14ac:dyDescent="0.25">
      <c r="A22" s="110" t="s">
        <v>326</v>
      </c>
      <c r="B22" s="43" t="s">
        <v>25</v>
      </c>
    </row>
    <row r="23" spans="1:2" ht="15.75" thickBot="1" x14ac:dyDescent="0.3">
      <c r="A23" s="111"/>
      <c r="B23" s="42" t="s">
        <v>291</v>
      </c>
    </row>
    <row r="24" spans="1:2" x14ac:dyDescent="0.25">
      <c r="A24" s="110" t="s">
        <v>327</v>
      </c>
      <c r="B24" s="38" t="s">
        <v>24</v>
      </c>
    </row>
    <row r="25" spans="1:2" ht="15.75" thickBot="1" x14ac:dyDescent="0.3">
      <c r="A25" s="111"/>
      <c r="B25" s="42" t="s">
        <v>292</v>
      </c>
    </row>
    <row r="26" spans="1:2" x14ac:dyDescent="0.25">
      <c r="A26" s="110" t="s">
        <v>328</v>
      </c>
      <c r="B26" s="38" t="s">
        <v>24</v>
      </c>
    </row>
    <row r="27" spans="1:2" ht="15.75" thickBot="1" x14ac:dyDescent="0.3">
      <c r="A27" s="111"/>
      <c r="B27" s="42" t="s">
        <v>292</v>
      </c>
    </row>
  </sheetData>
  <mergeCells count="8">
    <mergeCell ref="A24:A25"/>
    <mergeCell ref="A26:A27"/>
    <mergeCell ref="A6:A7"/>
    <mergeCell ref="A8:A9"/>
    <mergeCell ref="A2:A5"/>
    <mergeCell ref="A10:A15"/>
    <mergeCell ref="A17:A20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Grafik</vt:lpstr>
      <vt:lpstr>Grafik Verileri</vt:lpstr>
      <vt:lpstr>Tüm Operasyonlar</vt:lpstr>
      <vt:lpstr>Değer Matrisleri</vt:lpstr>
      <vt:lpstr>Menü Seçenekleri</vt:lpstr>
      <vt:lpstr>Pivot</vt:lpstr>
      <vt:lpstr>Personel Görev Dağılım</vt:lpstr>
      <vt:lpstr>Niş Bölünmeler</vt:lpstr>
    </vt:vector>
  </TitlesOfParts>
  <Company>SolidShare.Net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Ramazan Topcu</dc:creator>
  <cp:lastModifiedBy>Goktug Ergin</cp:lastModifiedBy>
  <cp:lastPrinted>2026-01-20T12:48:59Z</cp:lastPrinted>
  <dcterms:created xsi:type="dcterms:W3CDTF">2024-08-02T06:40:00Z</dcterms:created>
  <dcterms:modified xsi:type="dcterms:W3CDTF">2026-04-16T08:49:23Z</dcterms:modified>
</cp:coreProperties>
</file>